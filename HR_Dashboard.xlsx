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Employees" sheetId="3" state="visible" r:id="rId5"/>
    <sheet name="Candidates" sheetId="4" state="visible" r:id="rId6"/>
    <sheet name="Onboarding" sheetId="5" state="visible" r:id="rId7"/>
    <sheet name="Attendance" sheetId="6" state="visible" r:id="rId8"/>
    <sheet name="Payroll_Input" sheetId="7" state="visible" r:id="rId9"/>
    <sheet name="Settin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Rules: missing data, unknown employee, duplicate (Emp ID + Month), deductions &gt; gross, basic &lt; Settings!B2 x gross.</t>
        </r>
      </text>
    </comment>
  </commentList>
</comments>
</file>

<file path=xl/sharedStrings.xml><?xml version="1.0" encoding="utf-8"?>
<sst xmlns="http://schemas.openxmlformats.org/spreadsheetml/2006/main" count="370" uniqueCount="162">
  <si>
    <t xml:space="preserve">HR Analytics Dashboard</t>
  </si>
  <si>
    <t xml:space="preserve">All figures are formulas linked to the data sheets. Sample data shown.</t>
  </si>
  <si>
    <t xml:space="preserve">Workforce</t>
  </si>
  <si>
    <t xml:space="preserve">Value</t>
  </si>
  <si>
    <t xml:space="preserve">Hiring Pipeline (Stage)</t>
  </si>
  <si>
    <t xml:space="preserve">Candidates</t>
  </si>
  <si>
    <t xml:space="preserve">Attendance Trend</t>
  </si>
  <si>
    <t xml:space="preserve">Avg Attendance %</t>
  </si>
  <si>
    <t xml:space="preserve">Active headcount</t>
  </si>
  <si>
    <t xml:space="preserve">Applied</t>
  </si>
  <si>
    <t xml:space="preserve">2026-07</t>
  </si>
  <si>
    <t xml:space="preserve">Resigned</t>
  </si>
  <si>
    <t xml:space="preserve">Screening</t>
  </si>
  <si>
    <t xml:space="preserve">2026-08</t>
  </si>
  <si>
    <t xml:space="preserve">Attrition % (Resigned / total)</t>
  </si>
  <si>
    <t xml:space="preserve">Interview</t>
  </si>
  <si>
    <t xml:space="preserve">2026-09</t>
  </si>
  <si>
    <t xml:space="preserve">Avg monthly CTC - active (INR)</t>
  </si>
  <si>
    <t xml:space="preserve">Offer</t>
  </si>
  <si>
    <t xml:space="preserve">Joined</t>
  </si>
  <si>
    <t xml:space="preserve">Overall</t>
  </si>
  <si>
    <t xml:space="preserve">Headcount by Department (Active)</t>
  </si>
  <si>
    <t xml:space="preserve">Count</t>
  </si>
  <si>
    <t xml:space="preserve">Rejected</t>
  </si>
  <si>
    <t xml:space="preserve">HR</t>
  </si>
  <si>
    <t xml:space="preserve">Total candidates</t>
  </si>
  <si>
    <t xml:space="preserve">Onboarding &amp; Payroll Quality</t>
  </si>
  <si>
    <t xml:space="preserve">Sales</t>
  </si>
  <si>
    <t xml:space="preserve">Hire conversion (Joined / Total)</t>
  </si>
  <si>
    <t xml:space="preserve">Avg onboarding completion</t>
  </si>
  <si>
    <t xml:space="preserve">Engineering</t>
  </si>
  <si>
    <t xml:space="preserve">Payroll rows checked</t>
  </si>
  <si>
    <t xml:space="preserve">Finance</t>
  </si>
  <si>
    <t xml:space="preserve">Payroll rows flagged</t>
  </si>
  <si>
    <t xml:space="preserve">Operations</t>
  </si>
  <si>
    <t xml:space="preserve">Payroll error rate</t>
  </si>
  <si>
    <t xml:space="preserve">HR Analytics &amp; Employee Records Dashboard</t>
  </si>
  <si>
    <t xml:space="preserve">HOW TO USE</t>
  </si>
  <si>
    <t xml:space="preserve">1. Yellow cells are inputs - type or paste your data there. White cells with formulas calculate automatically.</t>
  </si>
  <si>
    <t xml:space="preserve">2. Sheets: Employees, Candidates, Onboarding, Attendance, Payroll_Input -&gt; all feed the Dashboard sheet.</t>
  </si>
  <si>
    <t xml:space="preserve">3. Drop-down lists and number/date rules stop invalid entries (e.g. a wrong Status or a negative salary).</t>
  </si>
  <si>
    <t xml:space="preserve">4. Payroll_Input column I flags problems: missing data, unknown employee, duplicate, deductions above gross, low basic %.</t>
  </si>
  <si>
    <t xml:space="preserve">5. Formulas are pre-filled to row 60 on each sheet, so you can add rows without copying formulas.</t>
  </si>
  <si>
    <t xml:space="preserve">ASSUMPTIONS</t>
  </si>
  <si>
    <t xml:space="preserve">- All names, amounts and dates are SAMPLE data created for demonstration. Replace with real data.</t>
  </si>
  <si>
    <t xml:space="preserve">- Minimum Basic % of gross is a company-policy setting (Settings!B2, default 40%). Change it to match your policy.</t>
  </si>
  <si>
    <t xml:space="preserve">- Last 4 rows of Payroll_Input are deliberate test cases (see Note column) to show the validation. Delete before real use.</t>
  </si>
  <si>
    <t xml:space="preserve">- Attrition % = Resigned / (Active + Resigned) in this file's data. It is a simple point-in-time ratio, not an annualised rate.</t>
  </si>
  <si>
    <t xml:space="preserve">- Keep personal data (PAN, bank account numbers, Aadhaar) OUT of this file; use your HRMS/payroll system for those.</t>
  </si>
  <si>
    <t xml:space="preserve">Emp ID</t>
  </si>
  <si>
    <t xml:space="preserve">Employee Name</t>
  </si>
  <si>
    <t xml:space="preserve">Department</t>
  </si>
  <si>
    <t xml:space="preserve">Designation</t>
  </si>
  <si>
    <t xml:space="preserve">Join Date</t>
  </si>
  <si>
    <t xml:space="preserve">Status</t>
  </si>
  <si>
    <t xml:space="preserve">Exit Date</t>
  </si>
  <si>
    <t xml:space="preserve">Monthly CTC (INR)</t>
  </si>
  <si>
    <t xml:space="preserve">EMP001</t>
  </si>
  <si>
    <t xml:space="preserve">Aarav Menon</t>
  </si>
  <si>
    <t xml:space="preserve">HR Executive</t>
  </si>
  <si>
    <t xml:space="preserve">Active</t>
  </si>
  <si>
    <t xml:space="preserve">EMP002</t>
  </si>
  <si>
    <t xml:space="preserve">Divya Raman</t>
  </si>
  <si>
    <t xml:space="preserve">Sales Associate</t>
  </si>
  <si>
    <t xml:space="preserve">EMP003</t>
  </si>
  <si>
    <t xml:space="preserve">Karthik S</t>
  </si>
  <si>
    <t xml:space="preserve">Software Engineer</t>
  </si>
  <si>
    <t xml:space="preserve">EMP004</t>
  </si>
  <si>
    <t xml:space="preserve">Meera Nair</t>
  </si>
  <si>
    <t xml:space="preserve">Accounts Executive</t>
  </si>
  <si>
    <t xml:space="preserve">EMP005</t>
  </si>
  <si>
    <t xml:space="preserve">Rohan Das</t>
  </si>
  <si>
    <t xml:space="preserve">Operations Associate</t>
  </si>
  <si>
    <t xml:space="preserve">EMP006</t>
  </si>
  <si>
    <t xml:space="preserve">Sneha Iyer</t>
  </si>
  <si>
    <t xml:space="preserve">Payroll Associate</t>
  </si>
  <si>
    <t xml:space="preserve">EMP007</t>
  </si>
  <si>
    <t xml:space="preserve">Vikram Patel</t>
  </si>
  <si>
    <t xml:space="preserve">Sales Executive</t>
  </si>
  <si>
    <t xml:space="preserve">EMP008</t>
  </si>
  <si>
    <t xml:space="preserve">Anjali Rao</t>
  </si>
  <si>
    <t xml:space="preserve">QA Engineer</t>
  </si>
  <si>
    <t xml:space="preserve">EMP009</t>
  </si>
  <si>
    <t xml:space="preserve">Harish K</t>
  </si>
  <si>
    <t xml:space="preserve">EMP010</t>
  </si>
  <si>
    <t xml:space="preserve">Pooja Verma</t>
  </si>
  <si>
    <t xml:space="preserve">Finance Analyst</t>
  </si>
  <si>
    <t xml:space="preserve">EMP011</t>
  </si>
  <si>
    <t xml:space="preserve">Naveen T</t>
  </si>
  <si>
    <t xml:space="preserve">EMP012</t>
  </si>
  <si>
    <t xml:space="preserve">Lakshmi P</t>
  </si>
  <si>
    <t xml:space="preserve">Talent Acquisition Associate</t>
  </si>
  <si>
    <t xml:space="preserve">Candidate ID</t>
  </si>
  <si>
    <t xml:space="preserve">Candidate Name</t>
  </si>
  <si>
    <t xml:space="preserve">Position Applied</t>
  </si>
  <si>
    <t xml:space="preserve">Source</t>
  </si>
  <si>
    <t xml:space="preserve">Stage</t>
  </si>
  <si>
    <t xml:space="preserve">Applied Date</t>
  </si>
  <si>
    <t xml:space="preserve">Recruiter</t>
  </si>
  <si>
    <t xml:space="preserve">C001</t>
  </si>
  <si>
    <t xml:space="preserve">Ishaan Kumar</t>
  </si>
  <si>
    <t xml:space="preserve">LinkedIn</t>
  </si>
  <si>
    <t xml:space="preserve">C002</t>
  </si>
  <si>
    <t xml:space="preserve">Tanya Singh</t>
  </si>
  <si>
    <t xml:space="preserve">Naukri</t>
  </si>
  <si>
    <t xml:space="preserve">C003</t>
  </si>
  <si>
    <t xml:space="preserve">Arjun V</t>
  </si>
  <si>
    <t xml:space="preserve">Referral</t>
  </si>
  <si>
    <t xml:space="preserve">C004</t>
  </si>
  <si>
    <t xml:space="preserve">Nisha B</t>
  </si>
  <si>
    <t xml:space="preserve">C005</t>
  </si>
  <si>
    <t xml:space="preserve">Farhan Ali</t>
  </si>
  <si>
    <t xml:space="preserve">C006</t>
  </si>
  <si>
    <t xml:space="preserve">Gayathri M</t>
  </si>
  <si>
    <t xml:space="preserve">Campus</t>
  </si>
  <si>
    <t xml:space="preserve">C007</t>
  </si>
  <si>
    <t xml:space="preserve">Ramesh G</t>
  </si>
  <si>
    <t xml:space="preserve">C008</t>
  </si>
  <si>
    <t xml:space="preserve">Swathi R</t>
  </si>
  <si>
    <t xml:space="preserve">C009</t>
  </si>
  <si>
    <t xml:space="preserve">Dev Malhotra</t>
  </si>
  <si>
    <t xml:space="preserve">C010</t>
  </si>
  <si>
    <t xml:space="preserve">Preethi S</t>
  </si>
  <si>
    <t xml:space="preserve">C011</t>
  </si>
  <si>
    <t xml:space="preserve">Yusuf Khan</t>
  </si>
  <si>
    <t xml:space="preserve">C012</t>
  </si>
  <si>
    <t xml:space="preserve">Bhavna J</t>
  </si>
  <si>
    <t xml:space="preserve">C013</t>
  </si>
  <si>
    <t xml:space="preserve">Siddharth N</t>
  </si>
  <si>
    <t xml:space="preserve">C014</t>
  </si>
  <si>
    <t xml:space="preserve">Kavya L</t>
  </si>
  <si>
    <t xml:space="preserve">C015</t>
  </si>
  <si>
    <t xml:space="preserve">Mohan Raj</t>
  </si>
  <si>
    <t xml:space="preserve">Offer Letter Signed</t>
  </si>
  <si>
    <t xml:space="preserve">Documents Collected</t>
  </si>
  <si>
    <t xml:space="preserve">System/ID Created</t>
  </si>
  <si>
    <t xml:space="preserve">Induction Done</t>
  </si>
  <si>
    <t xml:space="preserve">Policies Acknowledged</t>
  </si>
  <si>
    <t xml:space="preserve">Completion %</t>
  </si>
  <si>
    <t xml:space="preserve">Yes</t>
  </si>
  <si>
    <t xml:space="preserve">No</t>
  </si>
  <si>
    <t xml:space="preserve">Month</t>
  </si>
  <si>
    <t xml:space="preserve">Working Days</t>
  </si>
  <si>
    <t xml:space="preserve">Days Present</t>
  </si>
  <si>
    <t xml:space="preserve">Days Absent / On Leave</t>
  </si>
  <si>
    <t xml:space="preserve">Attendance %</t>
  </si>
  <si>
    <t xml:space="preserve">Basic (INR)</t>
  </si>
  <si>
    <t xml:space="preserve">HRA (INR)</t>
  </si>
  <si>
    <t xml:space="preserve">Allowances (INR)</t>
  </si>
  <si>
    <t xml:space="preserve">Deductions (INR)</t>
  </si>
  <si>
    <t xml:space="preserve">Gross (INR)</t>
  </si>
  <si>
    <t xml:space="preserve">Net Pay (INR)</t>
  </si>
  <si>
    <t xml:space="preserve">Validation Check</t>
  </si>
  <si>
    <t xml:space="preserve">Note</t>
  </si>
  <si>
    <t xml:space="preserve">Test: duplicate Emp ID + Month</t>
  </si>
  <si>
    <t xml:space="preserve">EMP099</t>
  </si>
  <si>
    <t xml:space="preserve">Test: unknown employee</t>
  </si>
  <si>
    <t xml:space="preserve">Test: deductions exceed gross</t>
  </si>
  <si>
    <t xml:space="preserve">Test: basic missing</t>
  </si>
  <si>
    <t xml:space="preserve">Setting</t>
  </si>
  <si>
    <t xml:space="preserve">Minimum Basic as % of Gross (policy)</t>
  </si>
  <si>
    <t xml:space="preserve">Assumption: 40% is a placeholder. Set per your company's salary-structure policy.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</si>
</sst>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General"/>
    <numFmt numFmtId="167" formatCode="0.0%"/>
    <numFmt numFmtId="168" formatCode="#,##0"/>
    <numFmt numFmtId="169" formatCode="0%"/>
    <numFmt numFmtId="170" formatCode="dd\-m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A5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Hiring Pipeline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Dashboard!$D$5:$D$10</c:f>
              <c:strCache>
                <c:ptCount val="6"/>
                <c:pt idx="0">
                  <c:v>Applied</c:v>
                </c:pt>
                <c:pt idx="1">
                  <c:v>Screening</c:v>
                </c:pt>
                <c:pt idx="2">
                  <c:v>Interview</c:v>
                </c:pt>
                <c:pt idx="3">
                  <c:v>Offer</c:v>
                </c:pt>
                <c:pt idx="4">
                  <c:v>Joined</c:v>
                </c:pt>
                <c:pt idx="5">
                  <c:v>Rejected</c:v>
                </c:pt>
              </c:strCache>
            </c:strRef>
          </c:cat>
          <c:val>
            <c:numRef>
              <c:f>Dashboard!$E$5:$E$10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79567797"/>
        <c:axId val="5899588"/>
      </c:barChart>
      <c:catAx>
        <c:axId val="79567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9588"/>
        <c:crosses val="autoZero"/>
        <c:auto val="1"/>
        <c:lblAlgn val="ctr"/>
        <c:lblOffset val="100"/>
        <c:noMultiLvlLbl val="0"/>
      </c:catAx>
      <c:valAx>
        <c:axId val="5899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677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Attendance %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Dashboard!H4</c:f>
              <c:strCache>
                <c:ptCount val="1"/>
                <c:pt idx="0">
                  <c:v>Avg Attendance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Dashboard!$G$5:$G$7</c:f>
              <c:strCache>
                <c:ptCount val="3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</c:strCache>
            </c:strRef>
          </c:cat>
          <c:val>
            <c:numRef>
              <c:f>Dashboard!$H$5:$H$7</c:f>
              <c:numCache>
                <c:formatCode>0.0%</c:formatCode>
                <c:ptCount val="3"/>
                <c:pt idx="0">
                  <c:v>0.943478260869565</c:v>
                </c:pt>
                <c:pt idx="1">
                  <c:v>0.957142857142857</c:v>
                </c:pt>
                <c:pt idx="2">
                  <c:v>0.963636363636364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800938"/>
        <c:axId val="61671668"/>
      </c:lineChart>
      <c:catAx>
        <c:axId val="318009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71668"/>
        <c:crosses val="autoZero"/>
        <c:auto val="1"/>
        <c:lblAlgn val="ctr"/>
        <c:lblOffset val="100"/>
        <c:noMultiLvlLbl val="0"/>
      </c:catAx>
      <c:valAx>
        <c:axId val="61671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009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131040</xdr:rowOff>
    </xdr:from>
    <xdr:to>
      <xdr:col>3</xdr:col>
      <xdr:colOff>1296360</xdr:colOff>
      <xdr:row>30</xdr:row>
      <xdr:rowOff>163440</xdr:rowOff>
    </xdr:to>
    <xdr:graphicFrame>
      <xdr:nvGraphicFramePr>
        <xdr:cNvPr id="0" name="Chart 1"/>
        <xdr:cNvGraphicFramePr/>
      </xdr:nvGraphicFramePr>
      <xdr:xfrm>
        <a:off x="0" y="3238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131040</xdr:rowOff>
    </xdr:from>
    <xdr:to>
      <xdr:col>9</xdr:col>
      <xdr:colOff>262080</xdr:colOff>
      <xdr:row>30</xdr:row>
      <xdr:rowOff>163440</xdr:rowOff>
    </xdr:to>
    <xdr:graphicFrame>
      <xdr:nvGraphicFramePr>
        <xdr:cNvPr id="1" name="Chart 2"/>
        <xdr:cNvGraphicFramePr/>
      </xdr:nvGraphicFramePr>
      <xdr:xfrm>
        <a:off x="5216040" y="3238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  <c r="E4" s="3" t="s">
        <v>5</v>
      </c>
      <c r="G4" s="3" t="s">
        <v>6</v>
      </c>
      <c r="H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COUNTIF(Employees!$F$2:$F$60,"Active")</f>
        <v>10</v>
      </c>
      <c r="D5" s="6" t="s">
        <v>9</v>
      </c>
      <c r="E5" s="7" t="n">
        <f aca="false">COUNTIF(Candidates!$E$2:$E$60,D5)</f>
        <v>3</v>
      </c>
      <c r="G5" s="6" t="s">
        <v>10</v>
      </c>
      <c r="H5" s="8" t="n">
        <f aca="false">IFERROR(AVERAGEIFS(Attendance!$F$2:$F$90,Attendance!$B$2:$B$90,G5),0)</f>
        <v>0.943478260869565</v>
      </c>
    </row>
    <row r="6" customFormat="false" ht="15" hidden="false" customHeight="false" outlineLevel="0" collapsed="false">
      <c r="A6" s="4" t="s">
        <v>11</v>
      </c>
      <c r="B6" s="5" t="n">
        <f aca="false">COUNTIF(Employees!$F$2:$F$60,"Resigned")</f>
        <v>2</v>
      </c>
      <c r="D6" s="6" t="s">
        <v>12</v>
      </c>
      <c r="E6" s="7" t="n">
        <f aca="false">COUNTIF(Candidates!$E$2:$E$60,D6)</f>
        <v>3</v>
      </c>
      <c r="G6" s="6" t="s">
        <v>13</v>
      </c>
      <c r="H6" s="8" t="n">
        <f aca="false">IFERROR(AVERAGEIFS(Attendance!$F$2:$F$90,Attendance!$B$2:$B$90,G6),0)</f>
        <v>0.957142857142857</v>
      </c>
    </row>
    <row r="7" customFormat="false" ht="15" hidden="false" customHeight="false" outlineLevel="0" collapsed="false">
      <c r="A7" s="4" t="s">
        <v>14</v>
      </c>
      <c r="B7" s="9" t="n">
        <f aca="false">IFERROR(B6/(B5+B6),0)</f>
        <v>0.166666666666667</v>
      </c>
      <c r="D7" s="6" t="s">
        <v>15</v>
      </c>
      <c r="E7" s="7" t="n">
        <f aca="false">COUNTIF(Candidates!$E$2:$E$60,D7)</f>
        <v>3</v>
      </c>
      <c r="G7" s="6" t="s">
        <v>16</v>
      </c>
      <c r="H7" s="8" t="n">
        <f aca="false">IFERROR(AVERAGEIFS(Attendance!$F$2:$F$90,Attendance!$B$2:$B$90,G7),0)</f>
        <v>0.963636363636364</v>
      </c>
    </row>
    <row r="8" customFormat="false" ht="15" hidden="false" customHeight="false" outlineLevel="0" collapsed="false">
      <c r="A8" s="4" t="s">
        <v>17</v>
      </c>
      <c r="B8" s="10" t="n">
        <f aca="false">IFERROR(AVERAGEIFS(Employees!$H$2:$H$60,Employees!$F$2:$F$60,"Active"),0)</f>
        <v>36100</v>
      </c>
      <c r="D8" s="6" t="s">
        <v>18</v>
      </c>
      <c r="E8" s="7" t="n">
        <f aca="false">COUNTIF(Candidates!$E$2:$E$60,D8)</f>
        <v>2</v>
      </c>
    </row>
    <row r="9" customFormat="false" ht="15" hidden="false" customHeight="false" outlineLevel="0" collapsed="false">
      <c r="D9" s="6" t="s">
        <v>19</v>
      </c>
      <c r="E9" s="7" t="n">
        <f aca="false">COUNTIF(Candidates!$E$2:$E$60,D9)</f>
        <v>2</v>
      </c>
      <c r="G9" s="11" t="s">
        <v>20</v>
      </c>
      <c r="H9" s="12" t="n">
        <f aca="false">IFERROR(AVERAGE(Attendance!$F$2:$F$90),0)</f>
        <v>0.954752493882929</v>
      </c>
    </row>
    <row r="10" customFormat="false" ht="15" hidden="false" customHeight="false" outlineLevel="0" collapsed="false">
      <c r="A10" s="3" t="s">
        <v>21</v>
      </c>
      <c r="B10" s="3" t="s">
        <v>22</v>
      </c>
      <c r="D10" s="6" t="s">
        <v>23</v>
      </c>
      <c r="E10" s="7" t="n">
        <f aca="false">COUNTIF(Candidates!$E$2:$E$60,D10)</f>
        <v>2</v>
      </c>
    </row>
    <row r="11" customFormat="false" ht="15" hidden="false" customHeight="false" outlineLevel="0" collapsed="false">
      <c r="A11" s="6" t="s">
        <v>24</v>
      </c>
      <c r="B11" s="7" t="n">
        <f aca="false">COUNTIFS(Employees!$C$2:$C$60,A11,Employees!$F$2:$F$60,"Active")</f>
        <v>3</v>
      </c>
      <c r="D11" s="11" t="s">
        <v>25</v>
      </c>
      <c r="E11" s="13" t="n">
        <f aca="false">SUM(E5:E10)</f>
        <v>15</v>
      </c>
      <c r="G11" s="3" t="s">
        <v>26</v>
      </c>
      <c r="H11" s="3" t="s">
        <v>3</v>
      </c>
    </row>
    <row r="12" customFormat="false" ht="15" hidden="false" customHeight="false" outlineLevel="0" collapsed="false">
      <c r="A12" s="6" t="s">
        <v>27</v>
      </c>
      <c r="B12" s="7" t="n">
        <f aca="false">COUNTIFS(Employees!$C$2:$C$60,A12,Employees!$F$2:$F$60,"Active")</f>
        <v>2</v>
      </c>
      <c r="D12" s="11" t="s">
        <v>28</v>
      </c>
      <c r="E12" s="12" t="n">
        <f aca="false">IFERROR(E9/E11,0)</f>
        <v>0.133333333333333</v>
      </c>
      <c r="G12" s="4" t="s">
        <v>29</v>
      </c>
      <c r="H12" s="14" t="n">
        <f aca="false">IFERROR(AVERAGE(Onboarding!$H$2:$H$60),0)</f>
        <v>0.76</v>
      </c>
    </row>
    <row r="13" customFormat="false" ht="15" hidden="false" customHeight="false" outlineLevel="0" collapsed="false">
      <c r="A13" s="6" t="s">
        <v>30</v>
      </c>
      <c r="B13" s="7" t="n">
        <f aca="false">COUNTIFS(Employees!$C$2:$C$60,A13,Employees!$F$2:$F$60,"Active")</f>
        <v>2</v>
      </c>
      <c r="G13" s="4" t="s">
        <v>31</v>
      </c>
      <c r="H13" s="15" t="n">
        <f aca="false">SUMPRODUCT((Payroll_Input!$I$2:$I$60&lt;&gt;"")*1)</f>
        <v>14</v>
      </c>
    </row>
    <row r="14" customFormat="false" ht="15" hidden="false" customHeight="false" outlineLevel="0" collapsed="false">
      <c r="A14" s="6" t="s">
        <v>32</v>
      </c>
      <c r="B14" s="7" t="n">
        <f aca="false">COUNTIFS(Employees!$C$2:$C$60,A14,Employees!$F$2:$F$60,"Active")</f>
        <v>2</v>
      </c>
      <c r="G14" s="4" t="s">
        <v>33</v>
      </c>
      <c r="H14" s="15" t="n">
        <f aca="false">SUMPRODUCT((Payroll_Input!$I$2:$I$60&lt;&gt;"OK")*(Payroll_Input!$I$2:$I$60&lt;&gt;""))</f>
        <v>5</v>
      </c>
    </row>
    <row r="15" customFormat="false" ht="15" hidden="false" customHeight="false" outlineLevel="0" collapsed="false">
      <c r="A15" s="6" t="s">
        <v>34</v>
      </c>
      <c r="B15" s="7" t="n">
        <f aca="false">COUNTIFS(Employees!$C$2:$C$60,A15,Employees!$F$2:$F$60,"Active")</f>
        <v>1</v>
      </c>
      <c r="G15" s="4" t="s">
        <v>35</v>
      </c>
      <c r="H15" s="9" t="n">
        <f aca="false">IFERROR(H14/H13,0)</f>
        <v>0.357142857142857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6" t="s">
        <v>36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8" t="s">
        <v>37</v>
      </c>
    </row>
    <row r="4" customFormat="false" ht="15" hidden="false" customHeight="false" outlineLevel="0" collapsed="false">
      <c r="A4" s="17" t="s">
        <v>38</v>
      </c>
    </row>
    <row r="5" customFormat="false" ht="15" hidden="false" customHeight="false" outlineLevel="0" collapsed="false">
      <c r="A5" s="17" t="s">
        <v>39</v>
      </c>
    </row>
    <row r="6" customFormat="false" ht="15" hidden="false" customHeight="false" outlineLevel="0" collapsed="false">
      <c r="A6" s="17" t="s">
        <v>40</v>
      </c>
    </row>
    <row r="7" customFormat="false" ht="15" hidden="false" customHeight="false" outlineLevel="0" collapsed="false">
      <c r="A7" s="17" t="s">
        <v>41</v>
      </c>
    </row>
    <row r="8" customFormat="false" ht="15" hidden="false" customHeight="false" outlineLevel="0" collapsed="false">
      <c r="A8" s="17" t="s">
        <v>42</v>
      </c>
    </row>
    <row r="9" customFormat="false" ht="15" hidden="false" customHeight="false" outlineLevel="0" collapsed="false">
      <c r="A9" s="17"/>
    </row>
    <row r="10" customFormat="false" ht="15" hidden="false" customHeight="false" outlineLevel="0" collapsed="false">
      <c r="A10" s="18" t="s">
        <v>43</v>
      </c>
    </row>
    <row r="11" customFormat="false" ht="15" hidden="false" customHeight="false" outlineLevel="0" collapsed="false">
      <c r="A11" s="17" t="s">
        <v>44</v>
      </c>
    </row>
    <row r="12" customFormat="false" ht="15" hidden="false" customHeight="false" outlineLevel="0" collapsed="false">
      <c r="A12" s="17" t="s">
        <v>45</v>
      </c>
    </row>
    <row r="13" customFormat="false" ht="15" hidden="false" customHeight="false" outlineLevel="0" collapsed="false">
      <c r="A13" s="17" t="s">
        <v>46</v>
      </c>
    </row>
    <row r="14" customFormat="false" ht="15" hidden="false" customHeight="false" outlineLevel="0" collapsed="false">
      <c r="A14" s="17" t="s">
        <v>47</v>
      </c>
    </row>
    <row r="15" customFormat="false" ht="15" hidden="false" customHeight="false" outlineLevel="0" collapsed="false">
      <c r="A15" s="1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</row>
    <row r="2" customFormat="false" ht="15" hidden="false" customHeight="false" outlineLevel="0" collapsed="false">
      <c r="A2" s="20" t="s">
        <v>57</v>
      </c>
      <c r="B2" s="20" t="s">
        <v>58</v>
      </c>
      <c r="C2" s="20" t="s">
        <v>24</v>
      </c>
      <c r="D2" s="20" t="s">
        <v>59</v>
      </c>
      <c r="E2" s="21" t="n">
        <v>45446</v>
      </c>
      <c r="F2" s="20" t="s">
        <v>60</v>
      </c>
      <c r="G2" s="21"/>
      <c r="H2" s="22" t="n">
        <v>32000</v>
      </c>
    </row>
    <row r="3" customFormat="false" ht="15" hidden="false" customHeight="false" outlineLevel="0" collapsed="false">
      <c r="A3" s="20" t="s">
        <v>61</v>
      </c>
      <c r="B3" s="20" t="s">
        <v>62</v>
      </c>
      <c r="C3" s="20" t="s">
        <v>27</v>
      </c>
      <c r="D3" s="20" t="s">
        <v>63</v>
      </c>
      <c r="E3" s="21" t="n">
        <v>45516</v>
      </c>
      <c r="F3" s="20" t="s">
        <v>60</v>
      </c>
      <c r="G3" s="21"/>
      <c r="H3" s="22" t="n">
        <v>28000</v>
      </c>
    </row>
    <row r="4" customFormat="false" ht="15" hidden="false" customHeight="false" outlineLevel="0" collapsed="false">
      <c r="A4" s="20" t="s">
        <v>64</v>
      </c>
      <c r="B4" s="20" t="s">
        <v>65</v>
      </c>
      <c r="C4" s="20" t="s">
        <v>30</v>
      </c>
      <c r="D4" s="20" t="s">
        <v>66</v>
      </c>
      <c r="E4" s="21" t="n">
        <v>45537</v>
      </c>
      <c r="F4" s="20" t="s">
        <v>60</v>
      </c>
      <c r="G4" s="21"/>
      <c r="H4" s="22" t="n">
        <v>55000</v>
      </c>
    </row>
    <row r="5" customFormat="false" ht="15" hidden="false" customHeight="false" outlineLevel="0" collapsed="false">
      <c r="A5" s="20" t="s">
        <v>67</v>
      </c>
      <c r="B5" s="20" t="s">
        <v>68</v>
      </c>
      <c r="C5" s="20" t="s">
        <v>32</v>
      </c>
      <c r="D5" s="20" t="s">
        <v>69</v>
      </c>
      <c r="E5" s="21" t="n">
        <v>45663</v>
      </c>
      <c r="F5" s="20" t="s">
        <v>60</v>
      </c>
      <c r="G5" s="21"/>
      <c r="H5" s="22" t="n">
        <v>36000</v>
      </c>
    </row>
    <row r="6" customFormat="false" ht="15" hidden="false" customHeight="false" outlineLevel="0" collapsed="false">
      <c r="A6" s="20" t="s">
        <v>70</v>
      </c>
      <c r="B6" s="20" t="s">
        <v>71</v>
      </c>
      <c r="C6" s="20" t="s">
        <v>34</v>
      </c>
      <c r="D6" s="20" t="s">
        <v>72</v>
      </c>
      <c r="E6" s="21" t="n">
        <v>45705</v>
      </c>
      <c r="F6" s="20" t="s">
        <v>11</v>
      </c>
      <c r="G6" s="21" t="n">
        <v>46173</v>
      </c>
      <c r="H6" s="22" t="n">
        <v>30000</v>
      </c>
    </row>
    <row r="7" customFormat="false" ht="15" hidden="false" customHeight="false" outlineLevel="0" collapsed="false">
      <c r="A7" s="20" t="s">
        <v>73</v>
      </c>
      <c r="B7" s="20" t="s">
        <v>74</v>
      </c>
      <c r="C7" s="20" t="s">
        <v>24</v>
      </c>
      <c r="D7" s="20" t="s">
        <v>75</v>
      </c>
      <c r="E7" s="21" t="n">
        <v>45754</v>
      </c>
      <c r="F7" s="20" t="s">
        <v>60</v>
      </c>
      <c r="G7" s="21"/>
      <c r="H7" s="22" t="n">
        <v>34000</v>
      </c>
    </row>
    <row r="8" customFormat="false" ht="15" hidden="false" customHeight="false" outlineLevel="0" collapsed="false">
      <c r="A8" s="20" t="s">
        <v>76</v>
      </c>
      <c r="B8" s="20" t="s">
        <v>77</v>
      </c>
      <c r="C8" s="20" t="s">
        <v>27</v>
      </c>
      <c r="D8" s="20" t="s">
        <v>78</v>
      </c>
      <c r="E8" s="21" t="n">
        <v>45839</v>
      </c>
      <c r="F8" s="20" t="s">
        <v>11</v>
      </c>
      <c r="G8" s="21" t="n">
        <v>46112</v>
      </c>
      <c r="H8" s="22" t="n">
        <v>31000</v>
      </c>
    </row>
    <row r="9" customFormat="false" ht="15" hidden="false" customHeight="false" outlineLevel="0" collapsed="false">
      <c r="A9" s="20" t="s">
        <v>79</v>
      </c>
      <c r="B9" s="20" t="s">
        <v>80</v>
      </c>
      <c r="C9" s="20" t="s">
        <v>30</v>
      </c>
      <c r="D9" s="20" t="s">
        <v>81</v>
      </c>
      <c r="E9" s="21" t="n">
        <v>46034</v>
      </c>
      <c r="F9" s="20" t="s">
        <v>60</v>
      </c>
      <c r="G9" s="21"/>
      <c r="H9" s="22" t="n">
        <v>42000</v>
      </c>
    </row>
    <row r="10" customFormat="false" ht="15" hidden="false" customHeight="false" outlineLevel="0" collapsed="false">
      <c r="A10" s="20" t="s">
        <v>82</v>
      </c>
      <c r="B10" s="20" t="s">
        <v>83</v>
      </c>
      <c r="C10" s="20" t="s">
        <v>34</v>
      </c>
      <c r="D10" s="20" t="s">
        <v>72</v>
      </c>
      <c r="E10" s="21" t="n">
        <v>46055</v>
      </c>
      <c r="F10" s="20" t="s">
        <v>60</v>
      </c>
      <c r="G10" s="21"/>
      <c r="H10" s="22" t="n">
        <v>29000</v>
      </c>
    </row>
    <row r="11" customFormat="false" ht="15" hidden="false" customHeight="false" outlineLevel="0" collapsed="false">
      <c r="A11" s="20" t="s">
        <v>84</v>
      </c>
      <c r="B11" s="20" t="s">
        <v>85</v>
      </c>
      <c r="C11" s="20" t="s">
        <v>32</v>
      </c>
      <c r="D11" s="20" t="s">
        <v>86</v>
      </c>
      <c r="E11" s="21" t="n">
        <v>46097</v>
      </c>
      <c r="F11" s="20" t="s">
        <v>60</v>
      </c>
      <c r="G11" s="21"/>
      <c r="H11" s="22" t="n">
        <v>45000</v>
      </c>
    </row>
    <row r="12" customFormat="false" ht="15" hidden="false" customHeight="false" outlineLevel="0" collapsed="false">
      <c r="A12" s="20" t="s">
        <v>87</v>
      </c>
      <c r="B12" s="20" t="s">
        <v>88</v>
      </c>
      <c r="C12" s="20" t="s">
        <v>27</v>
      </c>
      <c r="D12" s="20" t="s">
        <v>63</v>
      </c>
      <c r="E12" s="21" t="n">
        <v>46174</v>
      </c>
      <c r="F12" s="20" t="s">
        <v>60</v>
      </c>
      <c r="G12" s="21"/>
      <c r="H12" s="22" t="n">
        <v>27000</v>
      </c>
    </row>
    <row r="13" customFormat="false" ht="15" hidden="false" customHeight="false" outlineLevel="0" collapsed="false">
      <c r="A13" s="20" t="s">
        <v>89</v>
      </c>
      <c r="B13" s="20" t="s">
        <v>90</v>
      </c>
      <c r="C13" s="20" t="s">
        <v>24</v>
      </c>
      <c r="D13" s="20" t="s">
        <v>91</v>
      </c>
      <c r="E13" s="21" t="n">
        <v>46209</v>
      </c>
      <c r="F13" s="20" t="s">
        <v>60</v>
      </c>
      <c r="G13" s="21"/>
      <c r="H13" s="22" t="n">
        <v>33000</v>
      </c>
    </row>
    <row r="14" customFormat="false" ht="15" hidden="false" customHeight="false" outlineLevel="0" collapsed="false">
      <c r="A14" s="23"/>
      <c r="B14" s="23"/>
      <c r="C14" s="23"/>
      <c r="D14" s="23"/>
      <c r="E14" s="24"/>
      <c r="F14" s="23"/>
      <c r="G14" s="24"/>
      <c r="H14" s="25"/>
    </row>
    <row r="15" customFormat="false" ht="15" hidden="false" customHeight="false" outlineLevel="0" collapsed="false">
      <c r="A15" s="23"/>
      <c r="B15" s="23"/>
      <c r="C15" s="23"/>
      <c r="D15" s="23"/>
      <c r="E15" s="24"/>
      <c r="F15" s="23"/>
      <c r="G15" s="24"/>
      <c r="H15" s="25"/>
    </row>
    <row r="16" customFormat="false" ht="15" hidden="false" customHeight="false" outlineLevel="0" collapsed="false">
      <c r="A16" s="23"/>
      <c r="B16" s="23"/>
      <c r="C16" s="23"/>
      <c r="D16" s="23"/>
      <c r="E16" s="24"/>
      <c r="F16" s="23"/>
      <c r="G16" s="24"/>
      <c r="H16" s="25"/>
    </row>
    <row r="17" customFormat="false" ht="15" hidden="false" customHeight="false" outlineLevel="0" collapsed="false">
      <c r="A17" s="23"/>
      <c r="B17" s="23"/>
      <c r="C17" s="23"/>
      <c r="D17" s="23"/>
      <c r="E17" s="24"/>
      <c r="F17" s="23"/>
      <c r="G17" s="24"/>
      <c r="H17" s="25"/>
    </row>
    <row r="18" customFormat="false" ht="15" hidden="false" customHeight="false" outlineLevel="0" collapsed="false">
      <c r="A18" s="23"/>
      <c r="B18" s="23"/>
      <c r="C18" s="23"/>
      <c r="D18" s="23"/>
      <c r="E18" s="24"/>
      <c r="F18" s="23"/>
      <c r="G18" s="24"/>
      <c r="H18" s="25"/>
    </row>
    <row r="19" customFormat="false" ht="15" hidden="false" customHeight="false" outlineLevel="0" collapsed="false">
      <c r="A19" s="23"/>
      <c r="B19" s="23"/>
      <c r="C19" s="23"/>
      <c r="D19" s="23"/>
      <c r="E19" s="24"/>
      <c r="F19" s="23"/>
      <c r="G19" s="24"/>
      <c r="H19" s="25"/>
    </row>
    <row r="20" customFormat="false" ht="15" hidden="false" customHeight="false" outlineLevel="0" collapsed="false">
      <c r="A20" s="23"/>
      <c r="B20" s="23"/>
      <c r="C20" s="23"/>
      <c r="D20" s="23"/>
      <c r="E20" s="24"/>
      <c r="F20" s="23"/>
      <c r="G20" s="24"/>
      <c r="H20" s="25"/>
    </row>
    <row r="21" customFormat="false" ht="15" hidden="false" customHeight="false" outlineLevel="0" collapsed="false">
      <c r="A21" s="23"/>
      <c r="B21" s="23"/>
      <c r="C21" s="23"/>
      <c r="D21" s="23"/>
      <c r="E21" s="24"/>
      <c r="F21" s="23"/>
      <c r="G21" s="24"/>
      <c r="H21" s="25"/>
    </row>
    <row r="22" customFormat="false" ht="15" hidden="false" customHeight="false" outlineLevel="0" collapsed="false">
      <c r="A22" s="23"/>
      <c r="B22" s="23"/>
      <c r="C22" s="23"/>
      <c r="D22" s="23"/>
      <c r="E22" s="24"/>
      <c r="F22" s="23"/>
      <c r="G22" s="24"/>
      <c r="H22" s="25"/>
    </row>
    <row r="23" customFormat="false" ht="15" hidden="false" customHeight="false" outlineLevel="0" collapsed="false">
      <c r="A23" s="23"/>
      <c r="B23" s="23"/>
      <c r="C23" s="23"/>
      <c r="D23" s="23"/>
      <c r="E23" s="24"/>
      <c r="F23" s="23"/>
      <c r="G23" s="24"/>
      <c r="H23" s="25"/>
    </row>
    <row r="24" customFormat="false" ht="15" hidden="false" customHeight="false" outlineLevel="0" collapsed="false">
      <c r="A24" s="23"/>
      <c r="B24" s="23"/>
      <c r="C24" s="23"/>
      <c r="D24" s="23"/>
      <c r="E24" s="24"/>
      <c r="F24" s="23"/>
      <c r="G24" s="24"/>
      <c r="H24" s="25"/>
    </row>
    <row r="25" customFormat="false" ht="15" hidden="false" customHeight="false" outlineLevel="0" collapsed="false">
      <c r="A25" s="23"/>
      <c r="B25" s="23"/>
      <c r="C25" s="23"/>
      <c r="D25" s="23"/>
      <c r="E25" s="24"/>
      <c r="F25" s="23"/>
      <c r="G25" s="24"/>
      <c r="H25" s="25"/>
    </row>
    <row r="26" customFormat="false" ht="15" hidden="false" customHeight="false" outlineLevel="0" collapsed="false">
      <c r="A26" s="23"/>
      <c r="B26" s="23"/>
      <c r="C26" s="23"/>
      <c r="D26" s="23"/>
      <c r="E26" s="24"/>
      <c r="F26" s="23"/>
      <c r="G26" s="24"/>
      <c r="H26" s="25"/>
    </row>
    <row r="27" customFormat="false" ht="15" hidden="false" customHeight="false" outlineLevel="0" collapsed="false">
      <c r="A27" s="23"/>
      <c r="B27" s="23"/>
      <c r="C27" s="23"/>
      <c r="D27" s="23"/>
      <c r="E27" s="24"/>
      <c r="F27" s="23"/>
      <c r="G27" s="24"/>
      <c r="H27" s="25"/>
    </row>
    <row r="28" customFormat="false" ht="15" hidden="false" customHeight="false" outlineLevel="0" collapsed="false">
      <c r="A28" s="23"/>
      <c r="B28" s="23"/>
      <c r="C28" s="23"/>
      <c r="D28" s="23"/>
      <c r="E28" s="24"/>
      <c r="F28" s="23"/>
      <c r="G28" s="24"/>
      <c r="H28" s="25"/>
    </row>
    <row r="29" customFormat="false" ht="15" hidden="false" customHeight="false" outlineLevel="0" collapsed="false">
      <c r="A29" s="23"/>
      <c r="B29" s="23"/>
      <c r="C29" s="23"/>
      <c r="D29" s="23"/>
      <c r="E29" s="24"/>
      <c r="F29" s="23"/>
      <c r="G29" s="24"/>
      <c r="H29" s="25"/>
    </row>
    <row r="30" customFormat="false" ht="15" hidden="false" customHeight="false" outlineLevel="0" collapsed="false">
      <c r="A30" s="23"/>
      <c r="B30" s="23"/>
      <c r="C30" s="23"/>
      <c r="D30" s="23"/>
      <c r="E30" s="24"/>
      <c r="F30" s="23"/>
      <c r="G30" s="24"/>
      <c r="H30" s="25"/>
    </row>
    <row r="31" customFormat="false" ht="15" hidden="false" customHeight="false" outlineLevel="0" collapsed="false">
      <c r="A31" s="23"/>
      <c r="B31" s="23"/>
      <c r="C31" s="23"/>
      <c r="D31" s="23"/>
      <c r="E31" s="24"/>
      <c r="F31" s="23"/>
      <c r="G31" s="24"/>
      <c r="H31" s="25"/>
    </row>
    <row r="32" customFormat="false" ht="15" hidden="false" customHeight="false" outlineLevel="0" collapsed="false">
      <c r="A32" s="23"/>
      <c r="B32" s="23"/>
      <c r="C32" s="23"/>
      <c r="D32" s="23"/>
      <c r="E32" s="24"/>
      <c r="F32" s="23"/>
      <c r="G32" s="24"/>
      <c r="H32" s="25"/>
    </row>
    <row r="33" customFormat="false" ht="15" hidden="false" customHeight="false" outlineLevel="0" collapsed="false">
      <c r="A33" s="23"/>
      <c r="B33" s="23"/>
      <c r="C33" s="23"/>
      <c r="D33" s="23"/>
      <c r="E33" s="24"/>
      <c r="F33" s="23"/>
      <c r="G33" s="24"/>
      <c r="H33" s="25"/>
    </row>
    <row r="34" customFormat="false" ht="15" hidden="false" customHeight="false" outlineLevel="0" collapsed="false">
      <c r="A34" s="23"/>
      <c r="B34" s="23"/>
      <c r="C34" s="23"/>
      <c r="D34" s="23"/>
      <c r="E34" s="24"/>
      <c r="F34" s="23"/>
      <c r="G34" s="24"/>
      <c r="H34" s="25"/>
    </row>
    <row r="35" customFormat="false" ht="15" hidden="false" customHeight="false" outlineLevel="0" collapsed="false">
      <c r="A35" s="23"/>
      <c r="B35" s="23"/>
      <c r="C35" s="23"/>
      <c r="D35" s="23"/>
      <c r="E35" s="24"/>
      <c r="F35" s="23"/>
      <c r="G35" s="24"/>
      <c r="H35" s="25"/>
    </row>
    <row r="36" customFormat="false" ht="15" hidden="false" customHeight="false" outlineLevel="0" collapsed="false">
      <c r="A36" s="23"/>
      <c r="B36" s="23"/>
      <c r="C36" s="23"/>
      <c r="D36" s="23"/>
      <c r="E36" s="24"/>
      <c r="F36" s="23"/>
      <c r="G36" s="24"/>
      <c r="H36" s="25"/>
    </row>
    <row r="37" customFormat="false" ht="15" hidden="false" customHeight="false" outlineLevel="0" collapsed="false">
      <c r="A37" s="23"/>
      <c r="B37" s="23"/>
      <c r="C37" s="23"/>
      <c r="D37" s="23"/>
      <c r="E37" s="24"/>
      <c r="F37" s="23"/>
      <c r="G37" s="24"/>
      <c r="H37" s="25"/>
    </row>
    <row r="38" customFormat="false" ht="15" hidden="false" customHeight="false" outlineLevel="0" collapsed="false">
      <c r="A38" s="23"/>
      <c r="B38" s="23"/>
      <c r="C38" s="23"/>
      <c r="D38" s="23"/>
      <c r="E38" s="24"/>
      <c r="F38" s="23"/>
      <c r="G38" s="24"/>
      <c r="H38" s="25"/>
    </row>
    <row r="39" customFormat="false" ht="15" hidden="false" customHeight="false" outlineLevel="0" collapsed="false">
      <c r="A39" s="23"/>
      <c r="B39" s="23"/>
      <c r="C39" s="23"/>
      <c r="D39" s="23"/>
      <c r="E39" s="24"/>
      <c r="F39" s="23"/>
      <c r="G39" s="24"/>
      <c r="H39" s="25"/>
    </row>
    <row r="40" customFormat="false" ht="15" hidden="false" customHeight="false" outlineLevel="0" collapsed="false">
      <c r="A40" s="23"/>
      <c r="B40" s="23"/>
      <c r="C40" s="23"/>
      <c r="D40" s="23"/>
      <c r="E40" s="24"/>
      <c r="F40" s="23"/>
      <c r="G40" s="24"/>
      <c r="H40" s="25"/>
    </row>
    <row r="41" customFormat="false" ht="15" hidden="false" customHeight="false" outlineLevel="0" collapsed="false">
      <c r="A41" s="23"/>
      <c r="B41" s="23"/>
      <c r="C41" s="23"/>
      <c r="D41" s="23"/>
      <c r="E41" s="24"/>
      <c r="F41" s="23"/>
      <c r="G41" s="24"/>
      <c r="H41" s="25"/>
    </row>
    <row r="42" customFormat="false" ht="15" hidden="false" customHeight="false" outlineLevel="0" collapsed="false">
      <c r="A42" s="23"/>
      <c r="B42" s="23"/>
      <c r="C42" s="23"/>
      <c r="D42" s="23"/>
      <c r="E42" s="24"/>
      <c r="F42" s="23"/>
      <c r="G42" s="24"/>
      <c r="H42" s="25"/>
    </row>
    <row r="43" customFormat="false" ht="15" hidden="false" customHeight="false" outlineLevel="0" collapsed="false">
      <c r="A43" s="23"/>
      <c r="B43" s="23"/>
      <c r="C43" s="23"/>
      <c r="D43" s="23"/>
      <c r="E43" s="24"/>
      <c r="F43" s="23"/>
      <c r="G43" s="24"/>
      <c r="H43" s="25"/>
    </row>
    <row r="44" customFormat="false" ht="15" hidden="false" customHeight="false" outlineLevel="0" collapsed="false">
      <c r="A44" s="23"/>
      <c r="B44" s="23"/>
      <c r="C44" s="23"/>
      <c r="D44" s="23"/>
      <c r="E44" s="24"/>
      <c r="F44" s="23"/>
      <c r="G44" s="24"/>
      <c r="H44" s="25"/>
    </row>
    <row r="45" customFormat="false" ht="15" hidden="false" customHeight="false" outlineLevel="0" collapsed="false">
      <c r="A45" s="23"/>
      <c r="B45" s="23"/>
      <c r="C45" s="23"/>
      <c r="D45" s="23"/>
      <c r="E45" s="24"/>
      <c r="F45" s="23"/>
      <c r="G45" s="24"/>
      <c r="H45" s="25"/>
    </row>
    <row r="46" customFormat="false" ht="15" hidden="false" customHeight="false" outlineLevel="0" collapsed="false">
      <c r="A46" s="23"/>
      <c r="B46" s="23"/>
      <c r="C46" s="23"/>
      <c r="D46" s="23"/>
      <c r="E46" s="24"/>
      <c r="F46" s="23"/>
      <c r="G46" s="24"/>
      <c r="H46" s="25"/>
    </row>
    <row r="47" customFormat="false" ht="15" hidden="false" customHeight="false" outlineLevel="0" collapsed="false">
      <c r="A47" s="23"/>
      <c r="B47" s="23"/>
      <c r="C47" s="23"/>
      <c r="D47" s="23"/>
      <c r="E47" s="24"/>
      <c r="F47" s="23"/>
      <c r="G47" s="24"/>
      <c r="H47" s="25"/>
    </row>
    <row r="48" customFormat="false" ht="15" hidden="false" customHeight="false" outlineLevel="0" collapsed="false">
      <c r="A48" s="23"/>
      <c r="B48" s="23"/>
      <c r="C48" s="23"/>
      <c r="D48" s="23"/>
      <c r="E48" s="24"/>
      <c r="F48" s="23"/>
      <c r="G48" s="24"/>
      <c r="H48" s="25"/>
    </row>
    <row r="49" customFormat="false" ht="15" hidden="false" customHeight="false" outlineLevel="0" collapsed="false">
      <c r="A49" s="23"/>
      <c r="B49" s="23"/>
      <c r="C49" s="23"/>
      <c r="D49" s="23"/>
      <c r="E49" s="24"/>
      <c r="F49" s="23"/>
      <c r="G49" s="24"/>
      <c r="H49" s="25"/>
    </row>
    <row r="50" customFormat="false" ht="15" hidden="false" customHeight="false" outlineLevel="0" collapsed="false">
      <c r="A50" s="23"/>
      <c r="B50" s="23"/>
      <c r="C50" s="23"/>
      <c r="D50" s="23"/>
      <c r="E50" s="24"/>
      <c r="F50" s="23"/>
      <c r="G50" s="24"/>
      <c r="H50" s="25"/>
    </row>
    <row r="51" customFormat="false" ht="15" hidden="false" customHeight="false" outlineLevel="0" collapsed="false">
      <c r="A51" s="23"/>
      <c r="B51" s="23"/>
      <c r="C51" s="23"/>
      <c r="D51" s="23"/>
      <c r="E51" s="24"/>
      <c r="F51" s="23"/>
      <c r="G51" s="24"/>
      <c r="H51" s="25"/>
    </row>
    <row r="52" customFormat="false" ht="15" hidden="false" customHeight="false" outlineLevel="0" collapsed="false">
      <c r="A52" s="23"/>
      <c r="B52" s="23"/>
      <c r="C52" s="23"/>
      <c r="D52" s="23"/>
      <c r="E52" s="24"/>
      <c r="F52" s="23"/>
      <c r="G52" s="24"/>
      <c r="H52" s="25"/>
    </row>
    <row r="53" customFormat="false" ht="15" hidden="false" customHeight="false" outlineLevel="0" collapsed="false">
      <c r="A53" s="23"/>
      <c r="B53" s="23"/>
      <c r="C53" s="23"/>
      <c r="D53" s="23"/>
      <c r="E53" s="24"/>
      <c r="F53" s="23"/>
      <c r="G53" s="24"/>
      <c r="H53" s="25"/>
    </row>
    <row r="54" customFormat="false" ht="15" hidden="false" customHeight="false" outlineLevel="0" collapsed="false">
      <c r="A54" s="23"/>
      <c r="B54" s="23"/>
      <c r="C54" s="23"/>
      <c r="D54" s="23"/>
      <c r="E54" s="24"/>
      <c r="F54" s="23"/>
      <c r="G54" s="24"/>
      <c r="H54" s="25"/>
    </row>
    <row r="55" customFormat="false" ht="15" hidden="false" customHeight="false" outlineLevel="0" collapsed="false">
      <c r="A55" s="23"/>
      <c r="B55" s="23"/>
      <c r="C55" s="23"/>
      <c r="D55" s="23"/>
      <c r="E55" s="24"/>
      <c r="F55" s="23"/>
      <c r="G55" s="24"/>
      <c r="H55" s="25"/>
    </row>
    <row r="56" customFormat="false" ht="15" hidden="false" customHeight="false" outlineLevel="0" collapsed="false">
      <c r="A56" s="23"/>
      <c r="B56" s="23"/>
      <c r="C56" s="23"/>
      <c r="D56" s="23"/>
      <c r="E56" s="24"/>
      <c r="F56" s="23"/>
      <c r="G56" s="24"/>
      <c r="H56" s="25"/>
    </row>
    <row r="57" customFormat="false" ht="15" hidden="false" customHeight="false" outlineLevel="0" collapsed="false">
      <c r="A57" s="23"/>
      <c r="B57" s="23"/>
      <c r="C57" s="23"/>
      <c r="D57" s="23"/>
      <c r="E57" s="24"/>
      <c r="F57" s="23"/>
      <c r="G57" s="24"/>
      <c r="H57" s="25"/>
    </row>
    <row r="58" customFormat="false" ht="15" hidden="false" customHeight="false" outlineLevel="0" collapsed="false">
      <c r="A58" s="23"/>
      <c r="B58" s="23"/>
      <c r="C58" s="23"/>
      <c r="D58" s="23"/>
      <c r="E58" s="24"/>
      <c r="F58" s="23"/>
      <c r="G58" s="24"/>
      <c r="H58" s="25"/>
    </row>
    <row r="59" customFormat="false" ht="15" hidden="false" customHeight="false" outlineLevel="0" collapsed="false">
      <c r="A59" s="23"/>
      <c r="B59" s="23"/>
      <c r="C59" s="23"/>
      <c r="D59" s="23"/>
      <c r="E59" s="24"/>
      <c r="F59" s="23"/>
      <c r="G59" s="24"/>
      <c r="H59" s="25"/>
    </row>
    <row r="60" customFormat="false" ht="15" hidden="false" customHeight="false" outlineLevel="0" collapsed="false">
      <c r="A60" s="23"/>
      <c r="B60" s="23"/>
      <c r="C60" s="23"/>
      <c r="D60" s="23"/>
      <c r="E60" s="24"/>
      <c r="F60" s="23"/>
      <c r="G60" s="24"/>
      <c r="H60" s="25"/>
    </row>
  </sheetData>
  <conditionalFormatting sqref="A2:A60">
    <cfRule type="expression" priority="2" aboveAverage="0" equalAverage="0" bottom="0" percent="0" rank="0" text="" dxfId="0">
      <formula>AND(A2&lt;&gt;"",COUNTIF($A$2:$A$60,A2)&gt;1)</formula>
    </cfRule>
  </conditionalFormatting>
  <dataValidations count="3">
    <dataValidation allowBlank="true" error="Status must be Active or Resigned." errorStyle="stop" errorTitle="Invalid entry" operator="between" showDropDown="false" showErrorMessage="true" showInputMessage="false" sqref="F2:F60" type="list">
      <formula1>"Active,Resigned"</formula1>
      <formula2>0</formula2>
    </dataValidation>
    <dataValidation allowBlank="true" error="Enter a valid date (on or after 01-Jan-2000)." errorStyle="stop" errorTitle="Invalid date" operator="greaterThanOrEqual" showDropDown="false" showErrorMessage="true" showInputMessage="false" sqref="E2:E60 G2:G60" type="date">
      <formula1>36526</formula1>
      <formula2>0</formula2>
    </dataValidation>
    <dataValidation allowBlank="true" error="Enter a number that is 0 or more." errorStyle="stop" errorTitle="Invalid amount" operator="greaterThanOrEqual" showDropDown="false" showErrorMessage="true" showInputMessage="false" sqref="H2:H6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30" hidden="false" customHeight="true" outlineLevel="0" collapsed="false">
      <c r="A1" s="19" t="s">
        <v>92</v>
      </c>
      <c r="B1" s="19" t="s">
        <v>93</v>
      </c>
      <c r="C1" s="19" t="s">
        <v>94</v>
      </c>
      <c r="D1" s="19" t="s">
        <v>95</v>
      </c>
      <c r="E1" s="19" t="s">
        <v>96</v>
      </c>
      <c r="F1" s="19" t="s">
        <v>97</v>
      </c>
      <c r="G1" s="19" t="s">
        <v>98</v>
      </c>
    </row>
    <row r="2" customFormat="false" ht="15" hidden="false" customHeight="false" outlineLevel="0" collapsed="false">
      <c r="A2" s="20" t="s">
        <v>99</v>
      </c>
      <c r="B2" s="20" t="s">
        <v>100</v>
      </c>
      <c r="C2" s="20" t="s">
        <v>59</v>
      </c>
      <c r="D2" s="20" t="s">
        <v>101</v>
      </c>
      <c r="E2" s="20" t="s">
        <v>19</v>
      </c>
      <c r="F2" s="21" t="n">
        <v>46146</v>
      </c>
      <c r="G2" s="20" t="s">
        <v>90</v>
      </c>
    </row>
    <row r="3" customFormat="false" ht="15" hidden="false" customHeight="false" outlineLevel="0" collapsed="false">
      <c r="A3" s="20" t="s">
        <v>102</v>
      </c>
      <c r="B3" s="20" t="s">
        <v>103</v>
      </c>
      <c r="C3" s="20" t="s">
        <v>63</v>
      </c>
      <c r="D3" s="20" t="s">
        <v>104</v>
      </c>
      <c r="E3" s="20" t="s">
        <v>19</v>
      </c>
      <c r="F3" s="21" t="n">
        <v>46152</v>
      </c>
      <c r="G3" s="20" t="s">
        <v>90</v>
      </c>
    </row>
    <row r="4" customFormat="false" ht="15" hidden="false" customHeight="false" outlineLevel="0" collapsed="false">
      <c r="A4" s="20" t="s">
        <v>105</v>
      </c>
      <c r="B4" s="20" t="s">
        <v>106</v>
      </c>
      <c r="C4" s="20" t="s">
        <v>66</v>
      </c>
      <c r="D4" s="20" t="s">
        <v>107</v>
      </c>
      <c r="E4" s="20" t="s">
        <v>18</v>
      </c>
      <c r="F4" s="21" t="n">
        <v>46236</v>
      </c>
      <c r="G4" s="20" t="s">
        <v>58</v>
      </c>
    </row>
    <row r="5" customFormat="false" ht="15" hidden="false" customHeight="false" outlineLevel="0" collapsed="false">
      <c r="A5" s="20" t="s">
        <v>108</v>
      </c>
      <c r="B5" s="20" t="s">
        <v>109</v>
      </c>
      <c r="C5" s="20" t="s">
        <v>75</v>
      </c>
      <c r="D5" s="20" t="s">
        <v>101</v>
      </c>
      <c r="E5" s="20" t="s">
        <v>15</v>
      </c>
      <c r="F5" s="21" t="n">
        <v>46248</v>
      </c>
      <c r="G5" s="20" t="s">
        <v>90</v>
      </c>
    </row>
    <row r="6" customFormat="false" ht="15" hidden="false" customHeight="false" outlineLevel="0" collapsed="false">
      <c r="A6" s="20" t="s">
        <v>110</v>
      </c>
      <c r="B6" s="20" t="s">
        <v>111</v>
      </c>
      <c r="C6" s="20" t="s">
        <v>78</v>
      </c>
      <c r="D6" s="20" t="s">
        <v>104</v>
      </c>
      <c r="E6" s="20" t="s">
        <v>23</v>
      </c>
      <c r="F6" s="21" t="n">
        <v>46252</v>
      </c>
      <c r="G6" s="20" t="s">
        <v>58</v>
      </c>
    </row>
    <row r="7" customFormat="false" ht="15" hidden="false" customHeight="false" outlineLevel="0" collapsed="false">
      <c r="A7" s="20" t="s">
        <v>112</v>
      </c>
      <c r="B7" s="20" t="s">
        <v>113</v>
      </c>
      <c r="C7" s="20" t="s">
        <v>86</v>
      </c>
      <c r="D7" s="20" t="s">
        <v>114</v>
      </c>
      <c r="E7" s="20" t="s">
        <v>12</v>
      </c>
      <c r="F7" s="21" t="n">
        <v>46266</v>
      </c>
      <c r="G7" s="20" t="s">
        <v>90</v>
      </c>
    </row>
    <row r="8" customFormat="false" ht="15" hidden="false" customHeight="false" outlineLevel="0" collapsed="false">
      <c r="A8" s="20" t="s">
        <v>115</v>
      </c>
      <c r="B8" s="20" t="s">
        <v>116</v>
      </c>
      <c r="C8" s="20" t="s">
        <v>81</v>
      </c>
      <c r="D8" s="20" t="s">
        <v>107</v>
      </c>
      <c r="E8" s="20" t="s">
        <v>15</v>
      </c>
      <c r="F8" s="21" t="n">
        <v>46268</v>
      </c>
      <c r="G8" s="20" t="s">
        <v>58</v>
      </c>
    </row>
    <row r="9" customFormat="false" ht="15" hidden="false" customHeight="false" outlineLevel="0" collapsed="false">
      <c r="A9" s="20" t="s">
        <v>117</v>
      </c>
      <c r="B9" s="20" t="s">
        <v>118</v>
      </c>
      <c r="C9" s="20" t="s">
        <v>59</v>
      </c>
      <c r="D9" s="20" t="s">
        <v>101</v>
      </c>
      <c r="E9" s="20" t="s">
        <v>9</v>
      </c>
      <c r="F9" s="21" t="n">
        <v>46275</v>
      </c>
      <c r="G9" s="20" t="s">
        <v>90</v>
      </c>
    </row>
    <row r="10" customFormat="false" ht="15" hidden="false" customHeight="false" outlineLevel="0" collapsed="false">
      <c r="A10" s="20" t="s">
        <v>119</v>
      </c>
      <c r="B10" s="20" t="s">
        <v>120</v>
      </c>
      <c r="C10" s="20" t="s">
        <v>72</v>
      </c>
      <c r="D10" s="20" t="s">
        <v>104</v>
      </c>
      <c r="E10" s="20" t="s">
        <v>23</v>
      </c>
      <c r="F10" s="21" t="n">
        <v>46277</v>
      </c>
      <c r="G10" s="20" t="s">
        <v>58</v>
      </c>
    </row>
    <row r="11" customFormat="false" ht="15" hidden="false" customHeight="false" outlineLevel="0" collapsed="false">
      <c r="A11" s="20" t="s">
        <v>121</v>
      </c>
      <c r="B11" s="20" t="s">
        <v>122</v>
      </c>
      <c r="C11" s="20" t="s">
        <v>63</v>
      </c>
      <c r="D11" s="20" t="s">
        <v>114</v>
      </c>
      <c r="E11" s="20" t="s">
        <v>12</v>
      </c>
      <c r="F11" s="21" t="n">
        <v>46280</v>
      </c>
      <c r="G11" s="20" t="s">
        <v>90</v>
      </c>
    </row>
    <row r="12" customFormat="false" ht="15" hidden="false" customHeight="false" outlineLevel="0" collapsed="false">
      <c r="A12" s="20" t="s">
        <v>123</v>
      </c>
      <c r="B12" s="20" t="s">
        <v>124</v>
      </c>
      <c r="C12" s="20" t="s">
        <v>66</v>
      </c>
      <c r="D12" s="20" t="s">
        <v>101</v>
      </c>
      <c r="E12" s="20" t="s">
        <v>9</v>
      </c>
      <c r="F12" s="21" t="n">
        <v>46285</v>
      </c>
      <c r="G12" s="20" t="s">
        <v>58</v>
      </c>
    </row>
    <row r="13" customFormat="false" ht="15" hidden="false" customHeight="false" outlineLevel="0" collapsed="false">
      <c r="A13" s="20" t="s">
        <v>125</v>
      </c>
      <c r="B13" s="20" t="s">
        <v>126</v>
      </c>
      <c r="C13" s="20" t="s">
        <v>91</v>
      </c>
      <c r="D13" s="20" t="s">
        <v>107</v>
      </c>
      <c r="E13" s="20" t="s">
        <v>18</v>
      </c>
      <c r="F13" s="21" t="n">
        <v>46287</v>
      </c>
      <c r="G13" s="20" t="s">
        <v>90</v>
      </c>
    </row>
    <row r="14" customFormat="false" ht="15" hidden="false" customHeight="false" outlineLevel="0" collapsed="false">
      <c r="A14" s="20" t="s">
        <v>127</v>
      </c>
      <c r="B14" s="20" t="s">
        <v>128</v>
      </c>
      <c r="C14" s="20" t="s">
        <v>86</v>
      </c>
      <c r="D14" s="20" t="s">
        <v>104</v>
      </c>
      <c r="E14" s="20" t="s">
        <v>9</v>
      </c>
      <c r="F14" s="21" t="n">
        <v>46290</v>
      </c>
      <c r="G14" s="20" t="s">
        <v>90</v>
      </c>
    </row>
    <row r="15" customFormat="false" ht="15" hidden="false" customHeight="false" outlineLevel="0" collapsed="false">
      <c r="A15" s="20" t="s">
        <v>129</v>
      </c>
      <c r="B15" s="20" t="s">
        <v>130</v>
      </c>
      <c r="C15" s="20" t="s">
        <v>59</v>
      </c>
      <c r="D15" s="20" t="s">
        <v>114</v>
      </c>
      <c r="E15" s="20" t="s">
        <v>15</v>
      </c>
      <c r="F15" s="21" t="n">
        <v>46292</v>
      </c>
      <c r="G15" s="20" t="s">
        <v>58</v>
      </c>
    </row>
    <row r="16" customFormat="false" ht="15" hidden="false" customHeight="false" outlineLevel="0" collapsed="false">
      <c r="A16" s="20" t="s">
        <v>131</v>
      </c>
      <c r="B16" s="20" t="s">
        <v>132</v>
      </c>
      <c r="C16" s="20" t="s">
        <v>72</v>
      </c>
      <c r="D16" s="20" t="s">
        <v>101</v>
      </c>
      <c r="E16" s="20" t="s">
        <v>12</v>
      </c>
      <c r="F16" s="21" t="n">
        <v>46296</v>
      </c>
      <c r="G16" s="20" t="s">
        <v>90</v>
      </c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4"/>
      <c r="G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4"/>
      <c r="G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4"/>
      <c r="G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4"/>
      <c r="G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4"/>
      <c r="G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4"/>
      <c r="G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4"/>
      <c r="G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4"/>
      <c r="G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4"/>
      <c r="G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4"/>
      <c r="G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4"/>
      <c r="G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4"/>
      <c r="G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4"/>
      <c r="G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4"/>
      <c r="G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4"/>
      <c r="G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4"/>
      <c r="G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4"/>
      <c r="G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4"/>
      <c r="G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4"/>
      <c r="G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4"/>
      <c r="G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4"/>
      <c r="G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4"/>
      <c r="G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4"/>
      <c r="G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4"/>
      <c r="G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4"/>
      <c r="G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4"/>
      <c r="G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4"/>
      <c r="G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4"/>
      <c r="G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4"/>
      <c r="G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4"/>
      <c r="G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4"/>
      <c r="G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4"/>
      <c r="G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4"/>
      <c r="G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4"/>
      <c r="G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4"/>
      <c r="G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4"/>
      <c r="G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4"/>
      <c r="G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4"/>
      <c r="G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4"/>
      <c r="G55" s="23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4"/>
      <c r="G56" s="23"/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4"/>
      <c r="G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4"/>
      <c r="G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4"/>
      <c r="G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4"/>
      <c r="G60" s="23"/>
    </row>
  </sheetData>
  <dataValidations count="3">
    <dataValidation allowBlank="true" error="Enter a valid date (on or after 01-Jan-2000)." errorStyle="stop" errorTitle="Invalid date" operator="greaterThanOrEqual" showDropDown="false" showErrorMessage="true" showInputMessage="false" sqref="F2:F60" type="date">
      <formula1>36526</formula1>
      <formula2>0</formula2>
    </dataValidation>
    <dataValidation allowBlank="true" error="Pick a valid stage from the list." errorStyle="stop" errorTitle="Invalid entry" operator="between" showDropDown="false" showErrorMessage="true" showInputMessage="false" sqref="E2:E60" type="list">
      <formula1>"Applied,Screening,Interview,Offer,Joined,Rejected"</formula1>
      <formula2>0</formula2>
    </dataValidation>
    <dataValidation allowBlank="true" error="Pick a source from the list." errorStyle="stop" errorTitle="Invalid entry" operator="between" showDropDown="false" showErrorMessage="true" showInputMessage="false" sqref="D2:D60" type="list">
      <formula1>"LinkedIn,Naukri,Referral,Campus,Other"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9" t="s">
        <v>49</v>
      </c>
      <c r="B1" s="19" t="s">
        <v>50</v>
      </c>
      <c r="C1" s="19" t="s">
        <v>133</v>
      </c>
      <c r="D1" s="19" t="s">
        <v>134</v>
      </c>
      <c r="E1" s="19" t="s">
        <v>135</v>
      </c>
      <c r="F1" s="19" t="s">
        <v>136</v>
      </c>
      <c r="G1" s="19" t="s">
        <v>137</v>
      </c>
      <c r="H1" s="19" t="s">
        <v>138</v>
      </c>
    </row>
    <row r="2" customFormat="false" ht="15" hidden="false" customHeight="false" outlineLevel="0" collapsed="false">
      <c r="A2" s="20" t="s">
        <v>79</v>
      </c>
      <c r="B2" s="20" t="s">
        <v>80</v>
      </c>
      <c r="C2" s="20" t="s">
        <v>139</v>
      </c>
      <c r="D2" s="20" t="s">
        <v>139</v>
      </c>
      <c r="E2" s="20" t="s">
        <v>139</v>
      </c>
      <c r="F2" s="20" t="s">
        <v>139</v>
      </c>
      <c r="G2" s="20" t="s">
        <v>139</v>
      </c>
      <c r="H2" s="26" t="n">
        <f aca="false">IF(A2="","",COUNTIF(C2:G2,"Yes")/COLUMNS(C2:G2))</f>
        <v>1</v>
      </c>
    </row>
    <row r="3" customFormat="false" ht="15" hidden="false" customHeight="false" outlineLevel="0" collapsed="false">
      <c r="A3" s="20" t="s">
        <v>82</v>
      </c>
      <c r="B3" s="20" t="s">
        <v>83</v>
      </c>
      <c r="C3" s="20" t="s">
        <v>139</v>
      </c>
      <c r="D3" s="20" t="s">
        <v>139</v>
      </c>
      <c r="E3" s="20" t="s">
        <v>139</v>
      </c>
      <c r="F3" s="20" t="s">
        <v>139</v>
      </c>
      <c r="G3" s="20" t="s">
        <v>139</v>
      </c>
      <c r="H3" s="26" t="n">
        <f aca="false">IF(A3="","",COUNTIF(C3:G3,"Yes")/COLUMNS(C3:G3))</f>
        <v>1</v>
      </c>
    </row>
    <row r="4" customFormat="false" ht="15" hidden="false" customHeight="false" outlineLevel="0" collapsed="false">
      <c r="A4" s="20" t="s">
        <v>84</v>
      </c>
      <c r="B4" s="20" t="s">
        <v>85</v>
      </c>
      <c r="C4" s="20" t="s">
        <v>139</v>
      </c>
      <c r="D4" s="20" t="s">
        <v>139</v>
      </c>
      <c r="E4" s="20" t="s">
        <v>139</v>
      </c>
      <c r="F4" s="20" t="s">
        <v>139</v>
      </c>
      <c r="G4" s="20" t="s">
        <v>140</v>
      </c>
      <c r="H4" s="26" t="n">
        <f aca="false">IF(A4="","",COUNTIF(C4:G4,"Yes")/COLUMNS(C4:G4))</f>
        <v>0.8</v>
      </c>
    </row>
    <row r="5" customFormat="false" ht="15" hidden="false" customHeight="false" outlineLevel="0" collapsed="false">
      <c r="A5" s="20" t="s">
        <v>87</v>
      </c>
      <c r="B5" s="20" t="s">
        <v>88</v>
      </c>
      <c r="C5" s="20" t="s">
        <v>139</v>
      </c>
      <c r="D5" s="20" t="s">
        <v>139</v>
      </c>
      <c r="E5" s="20" t="s">
        <v>139</v>
      </c>
      <c r="F5" s="20" t="s">
        <v>140</v>
      </c>
      <c r="G5" s="20" t="s">
        <v>140</v>
      </c>
      <c r="H5" s="26" t="n">
        <f aca="false">IF(A5="","",COUNTIF(C5:G5,"Yes")/COLUMNS(C5:G5))</f>
        <v>0.6</v>
      </c>
    </row>
    <row r="6" customFormat="false" ht="15" hidden="false" customHeight="false" outlineLevel="0" collapsed="false">
      <c r="A6" s="20" t="s">
        <v>89</v>
      </c>
      <c r="B6" s="20" t="s">
        <v>90</v>
      </c>
      <c r="C6" s="20" t="s">
        <v>139</v>
      </c>
      <c r="D6" s="20" t="s">
        <v>139</v>
      </c>
      <c r="E6" s="20" t="s">
        <v>140</v>
      </c>
      <c r="F6" s="20" t="s">
        <v>140</v>
      </c>
      <c r="G6" s="20" t="s">
        <v>140</v>
      </c>
      <c r="H6" s="26" t="n">
        <f aca="false">IF(A6="","",COUNTIF(C6:G6,"Yes")/COLUMNS(C6:G6))</f>
        <v>0.4</v>
      </c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3"/>
      <c r="H7" s="26" t="str">
        <f aca="false">IF(A7="","",COUNTIF(C7:G7,"Yes")/COLUMNS(C7:G7))</f>
        <v/>
      </c>
    </row>
    <row r="8" customFormat="false" ht="15" hidden="false" customHeight="false" outlineLevel="0" collapsed="false">
      <c r="A8" s="23"/>
      <c r="B8" s="23"/>
      <c r="C8" s="23"/>
      <c r="D8" s="23"/>
      <c r="E8" s="23"/>
      <c r="F8" s="23"/>
      <c r="G8" s="23"/>
      <c r="H8" s="26" t="str">
        <f aca="false">IF(A8="","",COUNTIF(C8:G8,"Yes")/COLUMNS(C8:G8))</f>
        <v/>
      </c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6" t="str">
        <f aca="false">IF(A9="","",COUNTIF(C9:G9,"Yes")/COLUMNS(C9:G9))</f>
        <v/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6" t="str">
        <f aca="false">IF(A10="","",COUNTIF(C10:G10,"Yes")/COLUMNS(C10:G10))</f>
        <v/>
      </c>
    </row>
    <row r="11" customFormat="false" ht="15" hidden="false" customHeight="false" outlineLevel="0" collapsed="false">
      <c r="A11" s="23"/>
      <c r="B11" s="23"/>
      <c r="C11" s="23"/>
      <c r="D11" s="23"/>
      <c r="E11" s="23"/>
      <c r="F11" s="23"/>
      <c r="G11" s="23"/>
      <c r="H11" s="26" t="str">
        <f aca="false">IF(A11="","",COUNTIF(C11:G11,"Yes")/COLUMNS(C11:G11))</f>
        <v/>
      </c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6" t="str">
        <f aca="false">IF(A12="","",COUNTIF(C12:G12,"Yes")/COLUMNS(C12:G12))</f>
        <v/>
      </c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6" t="str">
        <f aca="false">IF(A13="","",COUNTIF(C13:G13,"Yes")/COLUMNS(C13:G13))</f>
        <v/>
      </c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6" t="str">
        <f aca="false">IF(A14="","",COUNTIF(C14:G14,"Yes")/COLUMNS(C14:G14))</f>
        <v/>
      </c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6" t="str">
        <f aca="false">IF(A15="","",COUNTIF(C15:G15,"Yes")/COLUMNS(C15:G15))</f>
        <v/>
      </c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  <c r="H16" s="26" t="str">
        <f aca="false">IF(A16="","",COUNTIF(C16:G16,"Yes")/COLUMNS(C16:G16))</f>
        <v/>
      </c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6" t="str">
        <f aca="false">IF(A17="","",COUNTIF(C17:G17,"Yes")/COLUMNS(C17:G17))</f>
        <v/>
      </c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  <c r="H18" s="26" t="str">
        <f aca="false">IF(A18="","",COUNTIF(C18:G18,"Yes")/COLUMNS(C18:G18))</f>
        <v/>
      </c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6" t="str">
        <f aca="false">IF(A19="","",COUNTIF(C19:G19,"Yes")/COLUMNS(C19:G19))</f>
        <v/>
      </c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6" t="str">
        <f aca="false">IF(A20="","",COUNTIF(C20:G20,"Yes")/COLUMNS(C20:G20))</f>
        <v/>
      </c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6" t="str">
        <f aca="false">IF(A21="","",COUNTIF(C21:G21,"Yes")/COLUMNS(C21:G21))</f>
        <v/>
      </c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6" t="str">
        <f aca="false">IF(A22="","",COUNTIF(C22:G22,"Yes")/COLUMNS(C22:G22))</f>
        <v/>
      </c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6" t="str">
        <f aca="false">IF(A23="","",COUNTIF(C23:G23,"Yes")/COLUMNS(C23:G23))</f>
        <v/>
      </c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6" t="str">
        <f aca="false">IF(A24="","",COUNTIF(C24:G24,"Yes")/COLUMNS(C24:G24))</f>
        <v/>
      </c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6" t="str">
        <f aca="false">IF(A25="","",COUNTIF(C25:G25,"Yes")/COLUMNS(C25:G25))</f>
        <v/>
      </c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6" t="str">
        <f aca="false">IF(A26="","",COUNTIF(C26:G26,"Yes")/COLUMNS(C26:G26))</f>
        <v/>
      </c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6" t="str">
        <f aca="false">IF(A27="","",COUNTIF(C27:G27,"Yes")/COLUMNS(C27:G27))</f>
        <v/>
      </c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6" t="str">
        <f aca="false">IF(A28="","",COUNTIF(C28:G28,"Yes")/COLUMNS(C28:G28))</f>
        <v/>
      </c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6" t="str">
        <f aca="false">IF(A29="","",COUNTIF(C29:G29,"Yes")/COLUMNS(C29:G29))</f>
        <v/>
      </c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6" t="str">
        <f aca="false">IF(A30="","",COUNTIF(C30:G30,"Yes")/COLUMNS(C30:G30))</f>
        <v/>
      </c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6" t="str">
        <f aca="false">IF(A31="","",COUNTIF(C31:G31,"Yes")/COLUMNS(C31:G31))</f>
        <v/>
      </c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6" t="str">
        <f aca="false">IF(A32="","",COUNTIF(C32:G32,"Yes")/COLUMNS(C32:G32))</f>
        <v/>
      </c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6" t="str">
        <f aca="false">IF(A33="","",COUNTIF(C33:G33,"Yes")/COLUMNS(C33:G33))</f>
        <v/>
      </c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6" t="str">
        <f aca="false">IF(A34="","",COUNTIF(C34:G34,"Yes")/COLUMNS(C34:G34))</f>
        <v/>
      </c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6" t="str">
        <f aca="false">IF(A35="","",COUNTIF(C35:G35,"Yes")/COLUMNS(C35:G35))</f>
        <v/>
      </c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6" t="str">
        <f aca="false">IF(A36="","",COUNTIF(C36:G36,"Yes")/COLUMNS(C36:G36))</f>
        <v/>
      </c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6" t="str">
        <f aca="false">IF(A37="","",COUNTIF(C37:G37,"Yes")/COLUMNS(C37:G37))</f>
        <v/>
      </c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6" t="str">
        <f aca="false">IF(A38="","",COUNTIF(C38:G38,"Yes")/COLUMNS(C38:G38))</f>
        <v/>
      </c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6" t="str">
        <f aca="false">IF(A39="","",COUNTIF(C39:G39,"Yes")/COLUMNS(C39:G39))</f>
        <v/>
      </c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6" t="str">
        <f aca="false">IF(A40="","",COUNTIF(C40:G40,"Yes")/COLUMNS(C40:G40))</f>
        <v/>
      </c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6" t="str">
        <f aca="false">IF(A41="","",COUNTIF(C41:G41,"Yes")/COLUMNS(C41:G41))</f>
        <v/>
      </c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6" t="str">
        <f aca="false">IF(A42="","",COUNTIF(C42:G42,"Yes")/COLUMNS(C42:G42))</f>
        <v/>
      </c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6" t="str">
        <f aca="false">IF(A43="","",COUNTIF(C43:G43,"Yes")/COLUMNS(C43:G43))</f>
        <v/>
      </c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6" t="str">
        <f aca="false">IF(A44="","",COUNTIF(C44:G44,"Yes")/COLUMNS(C44:G44))</f>
        <v/>
      </c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6" t="str">
        <f aca="false">IF(A45="","",COUNTIF(C45:G45,"Yes")/COLUMNS(C45:G45))</f>
        <v/>
      </c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6" t="str">
        <f aca="false">IF(A46="","",COUNTIF(C46:G46,"Yes")/COLUMNS(C46:G46))</f>
        <v/>
      </c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6" t="str">
        <f aca="false">IF(A47="","",COUNTIF(C47:G47,"Yes")/COLUMNS(C47:G47))</f>
        <v/>
      </c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6" t="str">
        <f aca="false">IF(A48="","",COUNTIF(C48:G48,"Yes")/COLUMNS(C48:G48))</f>
        <v/>
      </c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6" t="str">
        <f aca="false">IF(A49="","",COUNTIF(C49:G49,"Yes")/COLUMNS(C49:G49))</f>
        <v/>
      </c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6" t="str">
        <f aca="false">IF(A50="","",COUNTIF(C50:G50,"Yes")/COLUMNS(C50:G50))</f>
        <v/>
      </c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6" t="str">
        <f aca="false">IF(A51="","",COUNTIF(C51:G51,"Yes")/COLUMNS(C51:G51))</f>
        <v/>
      </c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6" t="str">
        <f aca="false">IF(A52="","",COUNTIF(C52:G52,"Yes")/COLUMNS(C52:G52))</f>
        <v/>
      </c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6" t="str">
        <f aca="false">IF(A53="","",COUNTIF(C53:G53,"Yes")/COLUMNS(C53:G53))</f>
        <v/>
      </c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6" t="str">
        <f aca="false">IF(A54="","",COUNTIF(C54:G54,"Yes")/COLUMNS(C54:G54))</f>
        <v/>
      </c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6" t="str">
        <f aca="false">IF(A55="","",COUNTIF(C55:G55,"Yes")/COLUMNS(C55:G55))</f>
        <v/>
      </c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  <c r="G56" s="23"/>
      <c r="H56" s="26" t="str">
        <f aca="false">IF(A56="","",COUNTIF(C56:G56,"Yes")/COLUMNS(C56:G56))</f>
        <v/>
      </c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  <c r="G57" s="23"/>
      <c r="H57" s="26" t="str">
        <f aca="false">IF(A57="","",COUNTIF(C57:G57,"Yes")/COLUMNS(C57:G57))</f>
        <v/>
      </c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23"/>
      <c r="H58" s="26" t="str">
        <f aca="false">IF(A58="","",COUNTIF(C58:G58,"Yes")/COLUMNS(C58:G58))</f>
        <v/>
      </c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23"/>
      <c r="H59" s="26" t="str">
        <f aca="false">IF(A59="","",COUNTIF(C59:G59,"Yes")/COLUMNS(C59:G59))</f>
        <v/>
      </c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23"/>
      <c r="H60" s="26" t="str">
        <f aca="false">IF(A60="","",COUNTIF(C60:G60,"Yes")/COLUMNS(C60:G60))</f>
        <v/>
      </c>
    </row>
  </sheetData>
  <dataValidations count="1">
    <dataValidation allowBlank="true" error="Enter Yes or No." errorStyle="stop" errorTitle="Invalid entry" operator="between" showDropDown="false" showErrorMessage="true" showInputMessage="false" sqref="C2:G6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9" t="s">
        <v>49</v>
      </c>
      <c r="B1" s="19" t="s">
        <v>141</v>
      </c>
      <c r="C1" s="19" t="s">
        <v>142</v>
      </c>
      <c r="D1" s="19" t="s">
        <v>143</v>
      </c>
      <c r="E1" s="19" t="s">
        <v>144</v>
      </c>
      <c r="F1" s="19" t="s">
        <v>145</v>
      </c>
    </row>
    <row r="2" customFormat="false" ht="15" hidden="false" customHeight="false" outlineLevel="0" collapsed="false">
      <c r="A2" s="20" t="s">
        <v>57</v>
      </c>
      <c r="B2" s="20" t="s">
        <v>10</v>
      </c>
      <c r="C2" s="20" t="n">
        <v>23</v>
      </c>
      <c r="D2" s="20" t="n">
        <v>22</v>
      </c>
      <c r="E2" s="27" t="n">
        <f aca="false">IF(A2="","",C2-D2)</f>
        <v>1</v>
      </c>
      <c r="F2" s="28" t="n">
        <f aca="false">IF(A2="","",IF(C2&gt;0,D2/C2,0))</f>
        <v>0.956521739130435</v>
      </c>
    </row>
    <row r="3" customFormat="false" ht="15" hidden="false" customHeight="false" outlineLevel="0" collapsed="false">
      <c r="A3" s="20" t="s">
        <v>57</v>
      </c>
      <c r="B3" s="20" t="s">
        <v>13</v>
      </c>
      <c r="C3" s="20" t="n">
        <v>21</v>
      </c>
      <c r="D3" s="20" t="n">
        <v>20</v>
      </c>
      <c r="E3" s="27" t="n">
        <f aca="false">IF(A3="","",C3-D3)</f>
        <v>1</v>
      </c>
      <c r="F3" s="28" t="n">
        <f aca="false">IF(A3="","",IF(C3&gt;0,D3/C3,0))</f>
        <v>0.952380952380952</v>
      </c>
    </row>
    <row r="4" customFormat="false" ht="15" hidden="false" customHeight="false" outlineLevel="0" collapsed="false">
      <c r="A4" s="20" t="s">
        <v>57</v>
      </c>
      <c r="B4" s="20" t="s">
        <v>16</v>
      </c>
      <c r="C4" s="20" t="n">
        <v>22</v>
      </c>
      <c r="D4" s="20" t="n">
        <v>21</v>
      </c>
      <c r="E4" s="27" t="n">
        <f aca="false">IF(A4="","",C4-D4)</f>
        <v>1</v>
      </c>
      <c r="F4" s="28" t="n">
        <f aca="false">IF(A4="","",IF(C4&gt;0,D4/C4,0))</f>
        <v>0.954545454545455</v>
      </c>
    </row>
    <row r="5" customFormat="false" ht="15" hidden="false" customHeight="false" outlineLevel="0" collapsed="false">
      <c r="A5" s="20" t="s">
        <v>61</v>
      </c>
      <c r="B5" s="20" t="s">
        <v>10</v>
      </c>
      <c r="C5" s="20" t="n">
        <v>23</v>
      </c>
      <c r="D5" s="20" t="n">
        <v>21</v>
      </c>
      <c r="E5" s="27" t="n">
        <f aca="false">IF(A5="","",C5-D5)</f>
        <v>2</v>
      </c>
      <c r="F5" s="28" t="n">
        <f aca="false">IF(A5="","",IF(C5&gt;0,D5/C5,0))</f>
        <v>0.91304347826087</v>
      </c>
    </row>
    <row r="6" customFormat="false" ht="15" hidden="false" customHeight="false" outlineLevel="0" collapsed="false">
      <c r="A6" s="20" t="s">
        <v>61</v>
      </c>
      <c r="B6" s="20" t="s">
        <v>13</v>
      </c>
      <c r="C6" s="20" t="n">
        <v>21</v>
      </c>
      <c r="D6" s="20" t="n">
        <v>19</v>
      </c>
      <c r="E6" s="27" t="n">
        <f aca="false">IF(A6="","",C6-D6)</f>
        <v>2</v>
      </c>
      <c r="F6" s="28" t="n">
        <f aca="false">IF(A6="","",IF(C6&gt;0,D6/C6,0))</f>
        <v>0.904761904761905</v>
      </c>
    </row>
    <row r="7" customFormat="false" ht="15" hidden="false" customHeight="false" outlineLevel="0" collapsed="false">
      <c r="A7" s="20" t="s">
        <v>61</v>
      </c>
      <c r="B7" s="20" t="s">
        <v>16</v>
      </c>
      <c r="C7" s="20" t="n">
        <v>22</v>
      </c>
      <c r="D7" s="20" t="n">
        <v>22</v>
      </c>
      <c r="E7" s="27" t="n">
        <f aca="false">IF(A7="","",C7-D7)</f>
        <v>0</v>
      </c>
      <c r="F7" s="28" t="n">
        <f aca="false">IF(A7="","",IF(C7&gt;0,D7/C7,0))</f>
        <v>1</v>
      </c>
    </row>
    <row r="8" customFormat="false" ht="15" hidden="false" customHeight="false" outlineLevel="0" collapsed="false">
      <c r="A8" s="20" t="s">
        <v>64</v>
      </c>
      <c r="B8" s="20" t="s">
        <v>10</v>
      </c>
      <c r="C8" s="20" t="n">
        <v>23</v>
      </c>
      <c r="D8" s="20" t="n">
        <v>23</v>
      </c>
      <c r="E8" s="27" t="n">
        <f aca="false">IF(A8="","",C8-D8)</f>
        <v>0</v>
      </c>
      <c r="F8" s="28" t="n">
        <f aca="false">IF(A8="","",IF(C8&gt;0,D8/C8,0))</f>
        <v>1</v>
      </c>
    </row>
    <row r="9" customFormat="false" ht="15" hidden="false" customHeight="false" outlineLevel="0" collapsed="false">
      <c r="A9" s="20" t="s">
        <v>64</v>
      </c>
      <c r="B9" s="20" t="s">
        <v>13</v>
      </c>
      <c r="C9" s="20" t="n">
        <v>21</v>
      </c>
      <c r="D9" s="20" t="n">
        <v>21</v>
      </c>
      <c r="E9" s="27" t="n">
        <f aca="false">IF(A9="","",C9-D9)</f>
        <v>0</v>
      </c>
      <c r="F9" s="28" t="n">
        <f aca="false">IF(A9="","",IF(C9&gt;0,D9/C9,0))</f>
        <v>1</v>
      </c>
    </row>
    <row r="10" customFormat="false" ht="15" hidden="false" customHeight="false" outlineLevel="0" collapsed="false">
      <c r="A10" s="20" t="s">
        <v>64</v>
      </c>
      <c r="B10" s="20" t="s">
        <v>16</v>
      </c>
      <c r="C10" s="20" t="n">
        <v>22</v>
      </c>
      <c r="D10" s="20" t="n">
        <v>22</v>
      </c>
      <c r="E10" s="27" t="n">
        <f aca="false">IF(A10="","",C10-D10)</f>
        <v>0</v>
      </c>
      <c r="F10" s="28" t="n">
        <f aca="false">IF(A10="","",IF(C10&gt;0,D10/C10,0))</f>
        <v>1</v>
      </c>
    </row>
    <row r="11" customFormat="false" ht="15" hidden="false" customHeight="false" outlineLevel="0" collapsed="false">
      <c r="A11" s="20" t="s">
        <v>67</v>
      </c>
      <c r="B11" s="20" t="s">
        <v>10</v>
      </c>
      <c r="C11" s="20" t="n">
        <v>23</v>
      </c>
      <c r="D11" s="20" t="n">
        <v>20</v>
      </c>
      <c r="E11" s="27" t="n">
        <f aca="false">IF(A11="","",C11-D11)</f>
        <v>3</v>
      </c>
      <c r="F11" s="28" t="n">
        <f aca="false">IF(A11="","",IF(C11&gt;0,D11/C11,0))</f>
        <v>0.869565217391304</v>
      </c>
    </row>
    <row r="12" customFormat="false" ht="15" hidden="false" customHeight="false" outlineLevel="0" collapsed="false">
      <c r="A12" s="20" t="s">
        <v>67</v>
      </c>
      <c r="B12" s="20" t="s">
        <v>13</v>
      </c>
      <c r="C12" s="20" t="n">
        <v>21</v>
      </c>
      <c r="D12" s="20" t="n">
        <v>20</v>
      </c>
      <c r="E12" s="27" t="n">
        <f aca="false">IF(A12="","",C12-D12)</f>
        <v>1</v>
      </c>
      <c r="F12" s="28" t="n">
        <f aca="false">IF(A12="","",IF(C12&gt;0,D12/C12,0))</f>
        <v>0.952380952380952</v>
      </c>
    </row>
    <row r="13" customFormat="false" ht="15" hidden="false" customHeight="false" outlineLevel="0" collapsed="false">
      <c r="A13" s="20" t="s">
        <v>67</v>
      </c>
      <c r="B13" s="20" t="s">
        <v>16</v>
      </c>
      <c r="C13" s="20" t="n">
        <v>22</v>
      </c>
      <c r="D13" s="20" t="n">
        <v>21</v>
      </c>
      <c r="E13" s="27" t="n">
        <f aca="false">IF(A13="","",C13-D13)</f>
        <v>1</v>
      </c>
      <c r="F13" s="28" t="n">
        <f aca="false">IF(A13="","",IF(C13&gt;0,D13/C13,0))</f>
        <v>0.954545454545455</v>
      </c>
    </row>
    <row r="14" customFormat="false" ht="15" hidden="false" customHeight="false" outlineLevel="0" collapsed="false">
      <c r="A14" s="20" t="s">
        <v>73</v>
      </c>
      <c r="B14" s="20" t="s">
        <v>10</v>
      </c>
      <c r="C14" s="20" t="n">
        <v>23</v>
      </c>
      <c r="D14" s="20" t="n">
        <v>22</v>
      </c>
      <c r="E14" s="27" t="n">
        <f aca="false">IF(A14="","",C14-D14)</f>
        <v>1</v>
      </c>
      <c r="F14" s="28" t="n">
        <f aca="false">IF(A14="","",IF(C14&gt;0,D14/C14,0))</f>
        <v>0.956521739130435</v>
      </c>
    </row>
    <row r="15" customFormat="false" ht="15" hidden="false" customHeight="false" outlineLevel="0" collapsed="false">
      <c r="A15" s="20" t="s">
        <v>73</v>
      </c>
      <c r="B15" s="20" t="s">
        <v>13</v>
      </c>
      <c r="C15" s="20" t="n">
        <v>21</v>
      </c>
      <c r="D15" s="20" t="n">
        <v>21</v>
      </c>
      <c r="E15" s="27" t="n">
        <f aca="false">IF(A15="","",C15-D15)</f>
        <v>0</v>
      </c>
      <c r="F15" s="28" t="n">
        <f aca="false">IF(A15="","",IF(C15&gt;0,D15/C15,0))</f>
        <v>1</v>
      </c>
    </row>
    <row r="16" customFormat="false" ht="15" hidden="false" customHeight="false" outlineLevel="0" collapsed="false">
      <c r="A16" s="20" t="s">
        <v>73</v>
      </c>
      <c r="B16" s="20" t="s">
        <v>16</v>
      </c>
      <c r="C16" s="20" t="n">
        <v>22</v>
      </c>
      <c r="D16" s="20" t="n">
        <v>22</v>
      </c>
      <c r="E16" s="27" t="n">
        <f aca="false">IF(A16="","",C16-D16)</f>
        <v>0</v>
      </c>
      <c r="F16" s="28" t="n">
        <f aca="false">IF(A16="","",IF(C16&gt;0,D16/C16,0))</f>
        <v>1</v>
      </c>
    </row>
    <row r="17" customFormat="false" ht="15" hidden="false" customHeight="false" outlineLevel="0" collapsed="false">
      <c r="A17" s="20" t="s">
        <v>79</v>
      </c>
      <c r="B17" s="20" t="s">
        <v>10</v>
      </c>
      <c r="C17" s="20" t="n">
        <v>23</v>
      </c>
      <c r="D17" s="20" t="n">
        <v>23</v>
      </c>
      <c r="E17" s="27" t="n">
        <f aca="false">IF(A17="","",C17-D17)</f>
        <v>0</v>
      </c>
      <c r="F17" s="28" t="n">
        <f aca="false">IF(A17="","",IF(C17&gt;0,D17/C17,0))</f>
        <v>1</v>
      </c>
    </row>
    <row r="18" customFormat="false" ht="15" hidden="false" customHeight="false" outlineLevel="0" collapsed="false">
      <c r="A18" s="20" t="s">
        <v>79</v>
      </c>
      <c r="B18" s="20" t="s">
        <v>13</v>
      </c>
      <c r="C18" s="20" t="n">
        <v>21</v>
      </c>
      <c r="D18" s="20" t="n">
        <v>18</v>
      </c>
      <c r="E18" s="27" t="n">
        <f aca="false">IF(A18="","",C18-D18)</f>
        <v>3</v>
      </c>
      <c r="F18" s="28" t="n">
        <f aca="false">IF(A18="","",IF(C18&gt;0,D18/C18,0))</f>
        <v>0.857142857142857</v>
      </c>
    </row>
    <row r="19" customFormat="false" ht="15" hidden="false" customHeight="false" outlineLevel="0" collapsed="false">
      <c r="A19" s="20" t="s">
        <v>79</v>
      </c>
      <c r="B19" s="20" t="s">
        <v>16</v>
      </c>
      <c r="C19" s="20" t="n">
        <v>22</v>
      </c>
      <c r="D19" s="20" t="n">
        <v>20</v>
      </c>
      <c r="E19" s="27" t="n">
        <f aca="false">IF(A19="","",C19-D19)</f>
        <v>2</v>
      </c>
      <c r="F19" s="28" t="n">
        <f aca="false">IF(A19="","",IF(C19&gt;0,D19/C19,0))</f>
        <v>0.909090909090909</v>
      </c>
    </row>
    <row r="20" customFormat="false" ht="15" hidden="false" customHeight="false" outlineLevel="0" collapsed="false">
      <c r="A20" s="20" t="s">
        <v>82</v>
      </c>
      <c r="B20" s="20" t="s">
        <v>10</v>
      </c>
      <c r="C20" s="20" t="n">
        <v>23</v>
      </c>
      <c r="D20" s="20" t="n">
        <v>21</v>
      </c>
      <c r="E20" s="27" t="n">
        <f aca="false">IF(A20="","",C20-D20)</f>
        <v>2</v>
      </c>
      <c r="F20" s="28" t="n">
        <f aca="false">IF(A20="","",IF(C20&gt;0,D20/C20,0))</f>
        <v>0.91304347826087</v>
      </c>
    </row>
    <row r="21" customFormat="false" ht="15" hidden="false" customHeight="false" outlineLevel="0" collapsed="false">
      <c r="A21" s="20" t="s">
        <v>82</v>
      </c>
      <c r="B21" s="20" t="s">
        <v>13</v>
      </c>
      <c r="C21" s="20" t="n">
        <v>21</v>
      </c>
      <c r="D21" s="20" t="n">
        <v>21</v>
      </c>
      <c r="E21" s="27" t="n">
        <f aca="false">IF(A21="","",C21-D21)</f>
        <v>0</v>
      </c>
      <c r="F21" s="28" t="n">
        <f aca="false">IF(A21="","",IF(C21&gt;0,D21/C21,0))</f>
        <v>1</v>
      </c>
    </row>
    <row r="22" customFormat="false" ht="15" hidden="false" customHeight="false" outlineLevel="0" collapsed="false">
      <c r="A22" s="20" t="s">
        <v>82</v>
      </c>
      <c r="B22" s="20" t="s">
        <v>16</v>
      </c>
      <c r="C22" s="20" t="n">
        <v>22</v>
      </c>
      <c r="D22" s="20" t="n">
        <v>22</v>
      </c>
      <c r="E22" s="27" t="n">
        <f aca="false">IF(A22="","",C22-D22)</f>
        <v>0</v>
      </c>
      <c r="F22" s="28" t="n">
        <f aca="false">IF(A22="","",IF(C22&gt;0,D22/C22,0))</f>
        <v>1</v>
      </c>
    </row>
    <row r="23" customFormat="false" ht="15" hidden="false" customHeight="false" outlineLevel="0" collapsed="false">
      <c r="A23" s="20" t="s">
        <v>84</v>
      </c>
      <c r="B23" s="20" t="s">
        <v>10</v>
      </c>
      <c r="C23" s="20" t="n">
        <v>23</v>
      </c>
      <c r="D23" s="20" t="n">
        <v>22</v>
      </c>
      <c r="E23" s="27" t="n">
        <f aca="false">IF(A23="","",C23-D23)</f>
        <v>1</v>
      </c>
      <c r="F23" s="28" t="n">
        <f aca="false">IF(A23="","",IF(C23&gt;0,D23/C23,0))</f>
        <v>0.956521739130435</v>
      </c>
    </row>
    <row r="24" customFormat="false" ht="15" hidden="false" customHeight="false" outlineLevel="0" collapsed="false">
      <c r="A24" s="20" t="s">
        <v>84</v>
      </c>
      <c r="B24" s="20" t="s">
        <v>13</v>
      </c>
      <c r="C24" s="20" t="n">
        <v>21</v>
      </c>
      <c r="D24" s="20" t="n">
        <v>20</v>
      </c>
      <c r="E24" s="27" t="n">
        <f aca="false">IF(A24="","",C24-D24)</f>
        <v>1</v>
      </c>
      <c r="F24" s="28" t="n">
        <f aca="false">IF(A24="","",IF(C24&gt;0,D24/C24,0))</f>
        <v>0.952380952380952</v>
      </c>
    </row>
    <row r="25" customFormat="false" ht="15" hidden="false" customHeight="false" outlineLevel="0" collapsed="false">
      <c r="A25" s="20" t="s">
        <v>84</v>
      </c>
      <c r="B25" s="20" t="s">
        <v>16</v>
      </c>
      <c r="C25" s="20" t="n">
        <v>22</v>
      </c>
      <c r="D25" s="20" t="n">
        <v>19</v>
      </c>
      <c r="E25" s="27" t="n">
        <f aca="false">IF(A25="","",C25-D25)</f>
        <v>3</v>
      </c>
      <c r="F25" s="28" t="n">
        <f aca="false">IF(A25="","",IF(C25&gt;0,D25/C25,0))</f>
        <v>0.863636363636364</v>
      </c>
    </row>
    <row r="26" customFormat="false" ht="15" hidden="false" customHeight="false" outlineLevel="0" collapsed="false">
      <c r="A26" s="20" t="s">
        <v>87</v>
      </c>
      <c r="B26" s="20" t="s">
        <v>10</v>
      </c>
      <c r="C26" s="20" t="n">
        <v>23</v>
      </c>
      <c r="D26" s="20" t="n">
        <v>23</v>
      </c>
      <c r="E26" s="27" t="n">
        <f aca="false">IF(A26="","",C26-D26)</f>
        <v>0</v>
      </c>
      <c r="F26" s="28" t="n">
        <f aca="false">IF(A26="","",IF(C26&gt;0,D26/C26,0))</f>
        <v>1</v>
      </c>
    </row>
    <row r="27" customFormat="false" ht="15" hidden="false" customHeight="false" outlineLevel="0" collapsed="false">
      <c r="A27" s="20" t="s">
        <v>87</v>
      </c>
      <c r="B27" s="20" t="s">
        <v>13</v>
      </c>
      <c r="C27" s="20" t="n">
        <v>21</v>
      </c>
      <c r="D27" s="20" t="n">
        <v>21</v>
      </c>
      <c r="E27" s="27" t="n">
        <f aca="false">IF(A27="","",C27-D27)</f>
        <v>0</v>
      </c>
      <c r="F27" s="28" t="n">
        <f aca="false">IF(A27="","",IF(C27&gt;0,D27/C27,0))</f>
        <v>1</v>
      </c>
    </row>
    <row r="28" customFormat="false" ht="15" hidden="false" customHeight="false" outlineLevel="0" collapsed="false">
      <c r="A28" s="20" t="s">
        <v>87</v>
      </c>
      <c r="B28" s="20" t="s">
        <v>16</v>
      </c>
      <c r="C28" s="20" t="n">
        <v>22</v>
      </c>
      <c r="D28" s="20" t="n">
        <v>22</v>
      </c>
      <c r="E28" s="27" t="n">
        <f aca="false">IF(A28="","",C28-D28)</f>
        <v>0</v>
      </c>
      <c r="F28" s="28" t="n">
        <f aca="false">IF(A28="","",IF(C28&gt;0,D28/C28,0))</f>
        <v>1</v>
      </c>
    </row>
    <row r="29" customFormat="false" ht="15" hidden="false" customHeight="false" outlineLevel="0" collapsed="false">
      <c r="A29" s="20" t="s">
        <v>89</v>
      </c>
      <c r="B29" s="20" t="s">
        <v>10</v>
      </c>
      <c r="C29" s="20" t="n">
        <v>23</v>
      </c>
      <c r="D29" s="20" t="n">
        <v>20</v>
      </c>
      <c r="E29" s="27" t="n">
        <f aca="false">IF(A29="","",C29-D29)</f>
        <v>3</v>
      </c>
      <c r="F29" s="28" t="n">
        <f aca="false">IF(A29="","",IF(C29&gt;0,D29/C29,0))</f>
        <v>0.869565217391304</v>
      </c>
    </row>
    <row r="30" customFormat="false" ht="15" hidden="false" customHeight="false" outlineLevel="0" collapsed="false">
      <c r="A30" s="20" t="s">
        <v>89</v>
      </c>
      <c r="B30" s="20" t="s">
        <v>13</v>
      </c>
      <c r="C30" s="20" t="n">
        <v>21</v>
      </c>
      <c r="D30" s="20" t="n">
        <v>20</v>
      </c>
      <c r="E30" s="27" t="n">
        <f aca="false">IF(A30="","",C30-D30)</f>
        <v>1</v>
      </c>
      <c r="F30" s="28" t="n">
        <f aca="false">IF(A30="","",IF(C30&gt;0,D30/C30,0))</f>
        <v>0.952380952380952</v>
      </c>
    </row>
    <row r="31" customFormat="false" ht="15" hidden="false" customHeight="false" outlineLevel="0" collapsed="false">
      <c r="A31" s="20" t="s">
        <v>89</v>
      </c>
      <c r="B31" s="20" t="s">
        <v>16</v>
      </c>
      <c r="C31" s="20" t="n">
        <v>22</v>
      </c>
      <c r="D31" s="20" t="n">
        <v>21</v>
      </c>
      <c r="E31" s="27" t="n">
        <f aca="false">IF(A31="","",C31-D31)</f>
        <v>1</v>
      </c>
      <c r="F31" s="28" t="n">
        <f aca="false">IF(A31="","",IF(C31&gt;0,D31/C31,0))</f>
        <v>0.954545454545455</v>
      </c>
    </row>
    <row r="32" customFormat="false" ht="15" hidden="false" customHeight="false" outlineLevel="0" collapsed="false">
      <c r="A32" s="23"/>
      <c r="B32" s="23"/>
      <c r="C32" s="23"/>
      <c r="D32" s="23"/>
      <c r="E32" s="27" t="str">
        <f aca="false">IF(A32="","",C32-D32)</f>
        <v/>
      </c>
      <c r="F32" s="28" t="str">
        <f aca="false">IF(A32="","",IF(C32&gt;0,D32/C32,0))</f>
        <v/>
      </c>
    </row>
    <row r="33" customFormat="false" ht="15" hidden="false" customHeight="false" outlineLevel="0" collapsed="false">
      <c r="A33" s="23"/>
      <c r="B33" s="23"/>
      <c r="C33" s="23"/>
      <c r="D33" s="23"/>
      <c r="E33" s="27" t="str">
        <f aca="false">IF(A33="","",C33-D33)</f>
        <v/>
      </c>
      <c r="F33" s="28" t="str">
        <f aca="false">IF(A33="","",IF(C33&gt;0,D33/C33,0))</f>
        <v/>
      </c>
    </row>
    <row r="34" customFormat="false" ht="15" hidden="false" customHeight="false" outlineLevel="0" collapsed="false">
      <c r="A34" s="23"/>
      <c r="B34" s="23"/>
      <c r="C34" s="23"/>
      <c r="D34" s="23"/>
      <c r="E34" s="27" t="str">
        <f aca="false">IF(A34="","",C34-D34)</f>
        <v/>
      </c>
      <c r="F34" s="28" t="str">
        <f aca="false">IF(A34="","",IF(C34&gt;0,D34/C34,0))</f>
        <v/>
      </c>
    </row>
    <row r="35" customFormat="false" ht="15" hidden="false" customHeight="false" outlineLevel="0" collapsed="false">
      <c r="A35" s="23"/>
      <c r="B35" s="23"/>
      <c r="C35" s="23"/>
      <c r="D35" s="23"/>
      <c r="E35" s="27" t="str">
        <f aca="false">IF(A35="","",C35-D35)</f>
        <v/>
      </c>
      <c r="F35" s="28" t="str">
        <f aca="false">IF(A35="","",IF(C35&gt;0,D35/C35,0))</f>
        <v/>
      </c>
    </row>
    <row r="36" customFormat="false" ht="15" hidden="false" customHeight="false" outlineLevel="0" collapsed="false">
      <c r="A36" s="23"/>
      <c r="B36" s="23"/>
      <c r="C36" s="23"/>
      <c r="D36" s="23"/>
      <c r="E36" s="27" t="str">
        <f aca="false">IF(A36="","",C36-D36)</f>
        <v/>
      </c>
      <c r="F36" s="28" t="str">
        <f aca="false">IF(A36="","",IF(C36&gt;0,D36/C36,0))</f>
        <v/>
      </c>
    </row>
    <row r="37" customFormat="false" ht="15" hidden="false" customHeight="false" outlineLevel="0" collapsed="false">
      <c r="A37" s="23"/>
      <c r="B37" s="23"/>
      <c r="C37" s="23"/>
      <c r="D37" s="23"/>
      <c r="E37" s="27" t="str">
        <f aca="false">IF(A37="","",C37-D37)</f>
        <v/>
      </c>
      <c r="F37" s="28" t="str">
        <f aca="false">IF(A37="","",IF(C37&gt;0,D37/C37,0))</f>
        <v/>
      </c>
    </row>
    <row r="38" customFormat="false" ht="15" hidden="false" customHeight="false" outlineLevel="0" collapsed="false">
      <c r="A38" s="23"/>
      <c r="B38" s="23"/>
      <c r="C38" s="23"/>
      <c r="D38" s="23"/>
      <c r="E38" s="27" t="str">
        <f aca="false">IF(A38="","",C38-D38)</f>
        <v/>
      </c>
      <c r="F38" s="28" t="str">
        <f aca="false">IF(A38="","",IF(C38&gt;0,D38/C38,0))</f>
        <v/>
      </c>
    </row>
    <row r="39" customFormat="false" ht="15" hidden="false" customHeight="false" outlineLevel="0" collapsed="false">
      <c r="A39" s="23"/>
      <c r="B39" s="23"/>
      <c r="C39" s="23"/>
      <c r="D39" s="23"/>
      <c r="E39" s="27" t="str">
        <f aca="false">IF(A39="","",C39-D39)</f>
        <v/>
      </c>
      <c r="F39" s="28" t="str">
        <f aca="false">IF(A39="","",IF(C39&gt;0,D39/C39,0))</f>
        <v/>
      </c>
    </row>
    <row r="40" customFormat="false" ht="15" hidden="false" customHeight="false" outlineLevel="0" collapsed="false">
      <c r="A40" s="23"/>
      <c r="B40" s="23"/>
      <c r="C40" s="23"/>
      <c r="D40" s="23"/>
      <c r="E40" s="27" t="str">
        <f aca="false">IF(A40="","",C40-D40)</f>
        <v/>
      </c>
      <c r="F40" s="28" t="str">
        <f aca="false">IF(A40="","",IF(C40&gt;0,D40/C40,0))</f>
        <v/>
      </c>
    </row>
    <row r="41" customFormat="false" ht="15" hidden="false" customHeight="false" outlineLevel="0" collapsed="false">
      <c r="A41" s="23"/>
      <c r="B41" s="23"/>
      <c r="C41" s="23"/>
      <c r="D41" s="23"/>
      <c r="E41" s="27" t="str">
        <f aca="false">IF(A41="","",C41-D41)</f>
        <v/>
      </c>
      <c r="F41" s="28" t="str">
        <f aca="false">IF(A41="","",IF(C41&gt;0,D41/C41,0))</f>
        <v/>
      </c>
    </row>
    <row r="42" customFormat="false" ht="15" hidden="false" customHeight="false" outlineLevel="0" collapsed="false">
      <c r="A42" s="23"/>
      <c r="B42" s="23"/>
      <c r="C42" s="23"/>
      <c r="D42" s="23"/>
      <c r="E42" s="27" t="str">
        <f aca="false">IF(A42="","",C42-D42)</f>
        <v/>
      </c>
      <c r="F42" s="28" t="str">
        <f aca="false">IF(A42="","",IF(C42&gt;0,D42/C42,0))</f>
        <v/>
      </c>
    </row>
    <row r="43" customFormat="false" ht="15" hidden="false" customHeight="false" outlineLevel="0" collapsed="false">
      <c r="A43" s="23"/>
      <c r="B43" s="23"/>
      <c r="C43" s="23"/>
      <c r="D43" s="23"/>
      <c r="E43" s="27" t="str">
        <f aca="false">IF(A43="","",C43-D43)</f>
        <v/>
      </c>
      <c r="F43" s="28" t="str">
        <f aca="false">IF(A43="","",IF(C43&gt;0,D43/C43,0))</f>
        <v/>
      </c>
    </row>
    <row r="44" customFormat="false" ht="15" hidden="false" customHeight="false" outlineLevel="0" collapsed="false">
      <c r="A44" s="23"/>
      <c r="B44" s="23"/>
      <c r="C44" s="23"/>
      <c r="D44" s="23"/>
      <c r="E44" s="27" t="str">
        <f aca="false">IF(A44="","",C44-D44)</f>
        <v/>
      </c>
      <c r="F44" s="28" t="str">
        <f aca="false">IF(A44="","",IF(C44&gt;0,D44/C44,0))</f>
        <v/>
      </c>
    </row>
    <row r="45" customFormat="false" ht="15" hidden="false" customHeight="false" outlineLevel="0" collapsed="false">
      <c r="A45" s="23"/>
      <c r="B45" s="23"/>
      <c r="C45" s="23"/>
      <c r="D45" s="23"/>
      <c r="E45" s="27" t="str">
        <f aca="false">IF(A45="","",C45-D45)</f>
        <v/>
      </c>
      <c r="F45" s="28" t="str">
        <f aca="false">IF(A45="","",IF(C45&gt;0,D45/C45,0))</f>
        <v/>
      </c>
    </row>
    <row r="46" customFormat="false" ht="15" hidden="false" customHeight="false" outlineLevel="0" collapsed="false">
      <c r="A46" s="23"/>
      <c r="B46" s="23"/>
      <c r="C46" s="23"/>
      <c r="D46" s="23"/>
      <c r="E46" s="27" t="str">
        <f aca="false">IF(A46="","",C46-D46)</f>
        <v/>
      </c>
      <c r="F46" s="28" t="str">
        <f aca="false">IF(A46="","",IF(C46&gt;0,D46/C46,0))</f>
        <v/>
      </c>
    </row>
    <row r="47" customFormat="false" ht="15" hidden="false" customHeight="false" outlineLevel="0" collapsed="false">
      <c r="A47" s="23"/>
      <c r="B47" s="23"/>
      <c r="C47" s="23"/>
      <c r="D47" s="23"/>
      <c r="E47" s="27" t="str">
        <f aca="false">IF(A47="","",C47-D47)</f>
        <v/>
      </c>
      <c r="F47" s="28" t="str">
        <f aca="false">IF(A47="","",IF(C47&gt;0,D47/C47,0))</f>
        <v/>
      </c>
    </row>
    <row r="48" customFormat="false" ht="15" hidden="false" customHeight="false" outlineLevel="0" collapsed="false">
      <c r="A48" s="23"/>
      <c r="B48" s="23"/>
      <c r="C48" s="23"/>
      <c r="D48" s="23"/>
      <c r="E48" s="27" t="str">
        <f aca="false">IF(A48="","",C48-D48)</f>
        <v/>
      </c>
      <c r="F48" s="28" t="str">
        <f aca="false">IF(A48="","",IF(C48&gt;0,D48/C48,0))</f>
        <v/>
      </c>
    </row>
    <row r="49" customFormat="false" ht="15" hidden="false" customHeight="false" outlineLevel="0" collapsed="false">
      <c r="A49" s="23"/>
      <c r="B49" s="23"/>
      <c r="C49" s="23"/>
      <c r="D49" s="23"/>
      <c r="E49" s="27" t="str">
        <f aca="false">IF(A49="","",C49-D49)</f>
        <v/>
      </c>
      <c r="F49" s="28" t="str">
        <f aca="false">IF(A49="","",IF(C49&gt;0,D49/C49,0))</f>
        <v/>
      </c>
    </row>
    <row r="50" customFormat="false" ht="15" hidden="false" customHeight="false" outlineLevel="0" collapsed="false">
      <c r="A50" s="23"/>
      <c r="B50" s="23"/>
      <c r="C50" s="23"/>
      <c r="D50" s="23"/>
      <c r="E50" s="27" t="str">
        <f aca="false">IF(A50="","",C50-D50)</f>
        <v/>
      </c>
      <c r="F50" s="28" t="str">
        <f aca="false">IF(A50="","",IF(C50&gt;0,D50/C50,0))</f>
        <v/>
      </c>
    </row>
    <row r="51" customFormat="false" ht="15" hidden="false" customHeight="false" outlineLevel="0" collapsed="false">
      <c r="A51" s="23"/>
      <c r="B51" s="23"/>
      <c r="C51" s="23"/>
      <c r="D51" s="23"/>
      <c r="E51" s="27" t="str">
        <f aca="false">IF(A51="","",C51-D51)</f>
        <v/>
      </c>
      <c r="F51" s="28" t="str">
        <f aca="false">IF(A51="","",IF(C51&gt;0,D51/C51,0))</f>
        <v/>
      </c>
    </row>
    <row r="52" customFormat="false" ht="15" hidden="false" customHeight="false" outlineLevel="0" collapsed="false">
      <c r="A52" s="23"/>
      <c r="B52" s="23"/>
      <c r="C52" s="23"/>
      <c r="D52" s="23"/>
      <c r="E52" s="27" t="str">
        <f aca="false">IF(A52="","",C52-D52)</f>
        <v/>
      </c>
      <c r="F52" s="28" t="str">
        <f aca="false">IF(A52="","",IF(C52&gt;0,D52/C52,0))</f>
        <v/>
      </c>
    </row>
    <row r="53" customFormat="false" ht="15" hidden="false" customHeight="false" outlineLevel="0" collapsed="false">
      <c r="A53" s="23"/>
      <c r="B53" s="23"/>
      <c r="C53" s="23"/>
      <c r="D53" s="23"/>
      <c r="E53" s="27" t="str">
        <f aca="false">IF(A53="","",C53-D53)</f>
        <v/>
      </c>
      <c r="F53" s="28" t="str">
        <f aca="false">IF(A53="","",IF(C53&gt;0,D53/C53,0))</f>
        <v/>
      </c>
    </row>
    <row r="54" customFormat="false" ht="15" hidden="false" customHeight="false" outlineLevel="0" collapsed="false">
      <c r="A54" s="23"/>
      <c r="B54" s="23"/>
      <c r="C54" s="23"/>
      <c r="D54" s="23"/>
      <c r="E54" s="27" t="str">
        <f aca="false">IF(A54="","",C54-D54)</f>
        <v/>
      </c>
      <c r="F54" s="28" t="str">
        <f aca="false">IF(A54="","",IF(C54&gt;0,D54/C54,0))</f>
        <v/>
      </c>
    </row>
    <row r="55" customFormat="false" ht="15" hidden="false" customHeight="false" outlineLevel="0" collapsed="false">
      <c r="A55" s="23"/>
      <c r="B55" s="23"/>
      <c r="C55" s="23"/>
      <c r="D55" s="23"/>
      <c r="E55" s="27" t="str">
        <f aca="false">IF(A55="","",C55-D55)</f>
        <v/>
      </c>
      <c r="F55" s="28" t="str">
        <f aca="false">IF(A55="","",IF(C55&gt;0,D55/C55,0))</f>
        <v/>
      </c>
    </row>
    <row r="56" customFormat="false" ht="15" hidden="false" customHeight="false" outlineLevel="0" collapsed="false">
      <c r="A56" s="23"/>
      <c r="B56" s="23"/>
      <c r="C56" s="23"/>
      <c r="D56" s="23"/>
      <c r="E56" s="27" t="str">
        <f aca="false">IF(A56="","",C56-D56)</f>
        <v/>
      </c>
      <c r="F56" s="28" t="str">
        <f aca="false">IF(A56="","",IF(C56&gt;0,D56/C56,0))</f>
        <v/>
      </c>
    </row>
    <row r="57" customFormat="false" ht="15" hidden="false" customHeight="false" outlineLevel="0" collapsed="false">
      <c r="A57" s="23"/>
      <c r="B57" s="23"/>
      <c r="C57" s="23"/>
      <c r="D57" s="23"/>
      <c r="E57" s="27" t="str">
        <f aca="false">IF(A57="","",C57-D57)</f>
        <v/>
      </c>
      <c r="F57" s="28" t="str">
        <f aca="false">IF(A57="","",IF(C57&gt;0,D57/C57,0))</f>
        <v/>
      </c>
    </row>
    <row r="58" customFormat="false" ht="15" hidden="false" customHeight="false" outlineLevel="0" collapsed="false">
      <c r="A58" s="23"/>
      <c r="B58" s="23"/>
      <c r="C58" s="23"/>
      <c r="D58" s="23"/>
      <c r="E58" s="27" t="str">
        <f aca="false">IF(A58="","",C58-D58)</f>
        <v/>
      </c>
      <c r="F58" s="28" t="str">
        <f aca="false">IF(A58="","",IF(C58&gt;0,D58/C58,0))</f>
        <v/>
      </c>
    </row>
    <row r="59" customFormat="false" ht="15" hidden="false" customHeight="false" outlineLevel="0" collapsed="false">
      <c r="A59" s="23"/>
      <c r="B59" s="23"/>
      <c r="C59" s="23"/>
      <c r="D59" s="23"/>
      <c r="E59" s="27" t="str">
        <f aca="false">IF(A59="","",C59-D59)</f>
        <v/>
      </c>
      <c r="F59" s="28" t="str">
        <f aca="false">IF(A59="","",IF(C59&gt;0,D59/C59,0))</f>
        <v/>
      </c>
    </row>
    <row r="60" customFormat="false" ht="15" hidden="false" customHeight="false" outlineLevel="0" collapsed="false">
      <c r="A60" s="23"/>
      <c r="B60" s="23"/>
      <c r="C60" s="23"/>
      <c r="D60" s="23"/>
      <c r="E60" s="27" t="str">
        <f aca="false">IF(A60="","",C60-D60)</f>
        <v/>
      </c>
      <c r="F60" s="28" t="str">
        <f aca="false">IF(A60="","",IF(C60&gt;0,D60/C60,0))</f>
        <v/>
      </c>
    </row>
    <row r="61" customFormat="false" ht="15" hidden="false" customHeight="false" outlineLevel="0" collapsed="false">
      <c r="A61" s="23"/>
      <c r="B61" s="23"/>
      <c r="C61" s="23"/>
      <c r="D61" s="23"/>
      <c r="E61" s="27" t="str">
        <f aca="false">IF(A61="","",C61-D61)</f>
        <v/>
      </c>
      <c r="F61" s="28" t="str">
        <f aca="false">IF(A61="","",IF(C61&gt;0,D61/C61,0))</f>
        <v/>
      </c>
    </row>
    <row r="62" customFormat="false" ht="15" hidden="false" customHeight="false" outlineLevel="0" collapsed="false">
      <c r="A62" s="23"/>
      <c r="B62" s="23"/>
      <c r="C62" s="23"/>
      <c r="D62" s="23"/>
      <c r="E62" s="27" t="str">
        <f aca="false">IF(A62="","",C62-D62)</f>
        <v/>
      </c>
      <c r="F62" s="28" t="str">
        <f aca="false">IF(A62="","",IF(C62&gt;0,D62/C62,0))</f>
        <v/>
      </c>
    </row>
    <row r="63" customFormat="false" ht="15" hidden="false" customHeight="false" outlineLevel="0" collapsed="false">
      <c r="A63" s="23"/>
      <c r="B63" s="23"/>
      <c r="C63" s="23"/>
      <c r="D63" s="23"/>
      <c r="E63" s="27" t="str">
        <f aca="false">IF(A63="","",C63-D63)</f>
        <v/>
      </c>
      <c r="F63" s="28" t="str">
        <f aca="false">IF(A63="","",IF(C63&gt;0,D63/C63,0))</f>
        <v/>
      </c>
    </row>
    <row r="64" customFormat="false" ht="15" hidden="false" customHeight="false" outlineLevel="0" collapsed="false">
      <c r="A64" s="23"/>
      <c r="B64" s="23"/>
      <c r="C64" s="23"/>
      <c r="D64" s="23"/>
      <c r="E64" s="27" t="str">
        <f aca="false">IF(A64="","",C64-D64)</f>
        <v/>
      </c>
      <c r="F64" s="28" t="str">
        <f aca="false">IF(A64="","",IF(C64&gt;0,D64/C64,0))</f>
        <v/>
      </c>
    </row>
    <row r="65" customFormat="false" ht="15" hidden="false" customHeight="false" outlineLevel="0" collapsed="false">
      <c r="A65" s="23"/>
      <c r="B65" s="23"/>
      <c r="C65" s="23"/>
      <c r="D65" s="23"/>
      <c r="E65" s="27" t="str">
        <f aca="false">IF(A65="","",C65-D65)</f>
        <v/>
      </c>
      <c r="F65" s="28" t="str">
        <f aca="false">IF(A65="","",IF(C65&gt;0,D65/C65,0))</f>
        <v/>
      </c>
    </row>
    <row r="66" customFormat="false" ht="15" hidden="false" customHeight="false" outlineLevel="0" collapsed="false">
      <c r="A66" s="23"/>
      <c r="B66" s="23"/>
      <c r="C66" s="23"/>
      <c r="D66" s="23"/>
      <c r="E66" s="27" t="str">
        <f aca="false">IF(A66="","",C66-D66)</f>
        <v/>
      </c>
      <c r="F66" s="28" t="str">
        <f aca="false">IF(A66="","",IF(C66&gt;0,D66/C66,0))</f>
        <v/>
      </c>
    </row>
    <row r="67" customFormat="false" ht="15" hidden="false" customHeight="false" outlineLevel="0" collapsed="false">
      <c r="A67" s="23"/>
      <c r="B67" s="23"/>
      <c r="C67" s="23"/>
      <c r="D67" s="23"/>
      <c r="E67" s="27" t="str">
        <f aca="false">IF(A67="","",C67-D67)</f>
        <v/>
      </c>
      <c r="F67" s="28" t="str">
        <f aca="false">IF(A67="","",IF(C67&gt;0,D67/C67,0))</f>
        <v/>
      </c>
    </row>
    <row r="68" customFormat="false" ht="15" hidden="false" customHeight="false" outlineLevel="0" collapsed="false">
      <c r="A68" s="23"/>
      <c r="B68" s="23"/>
      <c r="C68" s="23"/>
      <c r="D68" s="23"/>
      <c r="E68" s="27" t="str">
        <f aca="false">IF(A68="","",C68-D68)</f>
        <v/>
      </c>
      <c r="F68" s="28" t="str">
        <f aca="false">IF(A68="","",IF(C68&gt;0,D68/C68,0))</f>
        <v/>
      </c>
    </row>
    <row r="69" customFormat="false" ht="15" hidden="false" customHeight="false" outlineLevel="0" collapsed="false">
      <c r="A69" s="23"/>
      <c r="B69" s="23"/>
      <c r="C69" s="23"/>
      <c r="D69" s="23"/>
      <c r="E69" s="27" t="str">
        <f aca="false">IF(A69="","",C69-D69)</f>
        <v/>
      </c>
      <c r="F69" s="28" t="str">
        <f aca="false">IF(A69="","",IF(C69&gt;0,D69/C69,0))</f>
        <v/>
      </c>
    </row>
    <row r="70" customFormat="false" ht="15" hidden="false" customHeight="false" outlineLevel="0" collapsed="false">
      <c r="A70" s="23"/>
      <c r="B70" s="23"/>
      <c r="C70" s="23"/>
      <c r="D70" s="23"/>
      <c r="E70" s="27" t="str">
        <f aca="false">IF(A70="","",C70-D70)</f>
        <v/>
      </c>
      <c r="F70" s="28" t="str">
        <f aca="false">IF(A70="","",IF(C70&gt;0,D70/C70,0))</f>
        <v/>
      </c>
    </row>
    <row r="71" customFormat="false" ht="15" hidden="false" customHeight="false" outlineLevel="0" collapsed="false">
      <c r="A71" s="23"/>
      <c r="B71" s="23"/>
      <c r="C71" s="23"/>
      <c r="D71" s="23"/>
      <c r="E71" s="27" t="str">
        <f aca="false">IF(A71="","",C71-D71)</f>
        <v/>
      </c>
      <c r="F71" s="28" t="str">
        <f aca="false">IF(A71="","",IF(C71&gt;0,D71/C71,0))</f>
        <v/>
      </c>
    </row>
    <row r="72" customFormat="false" ht="15" hidden="false" customHeight="false" outlineLevel="0" collapsed="false">
      <c r="A72" s="23"/>
      <c r="B72" s="23"/>
      <c r="C72" s="23"/>
      <c r="D72" s="23"/>
      <c r="E72" s="27" t="str">
        <f aca="false">IF(A72="","",C72-D72)</f>
        <v/>
      </c>
      <c r="F72" s="28" t="str">
        <f aca="false">IF(A72="","",IF(C72&gt;0,D72/C72,0))</f>
        <v/>
      </c>
    </row>
    <row r="73" customFormat="false" ht="15" hidden="false" customHeight="false" outlineLevel="0" collapsed="false">
      <c r="A73" s="23"/>
      <c r="B73" s="23"/>
      <c r="C73" s="23"/>
      <c r="D73" s="23"/>
      <c r="E73" s="27" t="str">
        <f aca="false">IF(A73="","",C73-D73)</f>
        <v/>
      </c>
      <c r="F73" s="28" t="str">
        <f aca="false">IF(A73="","",IF(C73&gt;0,D73/C73,0))</f>
        <v/>
      </c>
    </row>
    <row r="74" customFormat="false" ht="15" hidden="false" customHeight="false" outlineLevel="0" collapsed="false">
      <c r="A74" s="23"/>
      <c r="B74" s="23"/>
      <c r="C74" s="23"/>
      <c r="D74" s="23"/>
      <c r="E74" s="27" t="str">
        <f aca="false">IF(A74="","",C74-D74)</f>
        <v/>
      </c>
      <c r="F74" s="28" t="str">
        <f aca="false">IF(A74="","",IF(C74&gt;0,D74/C74,0))</f>
        <v/>
      </c>
    </row>
    <row r="75" customFormat="false" ht="15" hidden="false" customHeight="false" outlineLevel="0" collapsed="false">
      <c r="A75" s="23"/>
      <c r="B75" s="23"/>
      <c r="C75" s="23"/>
      <c r="D75" s="23"/>
      <c r="E75" s="27" t="str">
        <f aca="false">IF(A75="","",C75-D75)</f>
        <v/>
      </c>
      <c r="F75" s="28" t="str">
        <f aca="false">IF(A75="","",IF(C75&gt;0,D75/C75,0))</f>
        <v/>
      </c>
    </row>
    <row r="76" customFormat="false" ht="15" hidden="false" customHeight="false" outlineLevel="0" collapsed="false">
      <c r="A76" s="23"/>
      <c r="B76" s="23"/>
      <c r="C76" s="23"/>
      <c r="D76" s="23"/>
      <c r="E76" s="27" t="str">
        <f aca="false">IF(A76="","",C76-D76)</f>
        <v/>
      </c>
      <c r="F76" s="28" t="str">
        <f aca="false">IF(A76="","",IF(C76&gt;0,D76/C76,0))</f>
        <v/>
      </c>
    </row>
    <row r="77" customFormat="false" ht="15" hidden="false" customHeight="false" outlineLevel="0" collapsed="false">
      <c r="A77" s="23"/>
      <c r="B77" s="23"/>
      <c r="C77" s="23"/>
      <c r="D77" s="23"/>
      <c r="E77" s="27" t="str">
        <f aca="false">IF(A77="","",C77-D77)</f>
        <v/>
      </c>
      <c r="F77" s="28" t="str">
        <f aca="false">IF(A77="","",IF(C77&gt;0,D77/C77,0))</f>
        <v/>
      </c>
    </row>
    <row r="78" customFormat="false" ht="15" hidden="false" customHeight="false" outlineLevel="0" collapsed="false">
      <c r="A78" s="23"/>
      <c r="B78" s="23"/>
      <c r="C78" s="23"/>
      <c r="D78" s="23"/>
      <c r="E78" s="27" t="str">
        <f aca="false">IF(A78="","",C78-D78)</f>
        <v/>
      </c>
      <c r="F78" s="28" t="str">
        <f aca="false">IF(A78="","",IF(C78&gt;0,D78/C78,0))</f>
        <v/>
      </c>
    </row>
    <row r="79" customFormat="false" ht="15" hidden="false" customHeight="false" outlineLevel="0" collapsed="false">
      <c r="A79" s="23"/>
      <c r="B79" s="23"/>
      <c r="C79" s="23"/>
      <c r="D79" s="23"/>
      <c r="E79" s="27" t="str">
        <f aca="false">IF(A79="","",C79-D79)</f>
        <v/>
      </c>
      <c r="F79" s="28" t="str">
        <f aca="false">IF(A79="","",IF(C79&gt;0,D79/C79,0))</f>
        <v/>
      </c>
    </row>
    <row r="80" customFormat="false" ht="15" hidden="false" customHeight="false" outlineLevel="0" collapsed="false">
      <c r="A80" s="23"/>
      <c r="B80" s="23"/>
      <c r="C80" s="23"/>
      <c r="D80" s="23"/>
      <c r="E80" s="27" t="str">
        <f aca="false">IF(A80="","",C80-D80)</f>
        <v/>
      </c>
      <c r="F80" s="28" t="str">
        <f aca="false">IF(A80="","",IF(C80&gt;0,D80/C80,0))</f>
        <v/>
      </c>
    </row>
    <row r="81" customFormat="false" ht="15" hidden="false" customHeight="false" outlineLevel="0" collapsed="false">
      <c r="A81" s="23"/>
      <c r="B81" s="23"/>
      <c r="C81" s="23"/>
      <c r="D81" s="23"/>
      <c r="E81" s="27" t="str">
        <f aca="false">IF(A81="","",C81-D81)</f>
        <v/>
      </c>
      <c r="F81" s="28" t="str">
        <f aca="false">IF(A81="","",IF(C81&gt;0,D81/C81,0))</f>
        <v/>
      </c>
    </row>
    <row r="82" customFormat="false" ht="15" hidden="false" customHeight="false" outlineLevel="0" collapsed="false">
      <c r="A82" s="23"/>
      <c r="B82" s="23"/>
      <c r="C82" s="23"/>
      <c r="D82" s="23"/>
      <c r="E82" s="27" t="str">
        <f aca="false">IF(A82="","",C82-D82)</f>
        <v/>
      </c>
      <c r="F82" s="28" t="str">
        <f aca="false">IF(A82="","",IF(C82&gt;0,D82/C82,0))</f>
        <v/>
      </c>
    </row>
    <row r="83" customFormat="false" ht="15" hidden="false" customHeight="false" outlineLevel="0" collapsed="false">
      <c r="A83" s="23"/>
      <c r="B83" s="23"/>
      <c r="C83" s="23"/>
      <c r="D83" s="23"/>
      <c r="E83" s="27" t="str">
        <f aca="false">IF(A83="","",C83-D83)</f>
        <v/>
      </c>
      <c r="F83" s="28" t="str">
        <f aca="false">IF(A83="","",IF(C83&gt;0,D83/C83,0))</f>
        <v/>
      </c>
    </row>
    <row r="84" customFormat="false" ht="15" hidden="false" customHeight="false" outlineLevel="0" collapsed="false">
      <c r="A84" s="23"/>
      <c r="B84" s="23"/>
      <c r="C84" s="23"/>
      <c r="D84" s="23"/>
      <c r="E84" s="27" t="str">
        <f aca="false">IF(A84="","",C84-D84)</f>
        <v/>
      </c>
      <c r="F84" s="28" t="str">
        <f aca="false">IF(A84="","",IF(C84&gt;0,D84/C84,0))</f>
        <v/>
      </c>
    </row>
    <row r="85" customFormat="false" ht="15" hidden="false" customHeight="false" outlineLevel="0" collapsed="false">
      <c r="A85" s="23"/>
      <c r="B85" s="23"/>
      <c r="C85" s="23"/>
      <c r="D85" s="23"/>
      <c r="E85" s="27" t="str">
        <f aca="false">IF(A85="","",C85-D85)</f>
        <v/>
      </c>
      <c r="F85" s="28" t="str">
        <f aca="false">IF(A85="","",IF(C85&gt;0,D85/C85,0))</f>
        <v/>
      </c>
    </row>
    <row r="86" customFormat="false" ht="15" hidden="false" customHeight="false" outlineLevel="0" collapsed="false">
      <c r="A86" s="23"/>
      <c r="B86" s="23"/>
      <c r="C86" s="23"/>
      <c r="D86" s="23"/>
      <c r="E86" s="27" t="str">
        <f aca="false">IF(A86="","",C86-D86)</f>
        <v/>
      </c>
      <c r="F86" s="28" t="str">
        <f aca="false">IF(A86="","",IF(C86&gt;0,D86/C86,0))</f>
        <v/>
      </c>
    </row>
    <row r="87" customFormat="false" ht="15" hidden="false" customHeight="false" outlineLevel="0" collapsed="false">
      <c r="A87" s="23"/>
      <c r="B87" s="23"/>
      <c r="C87" s="23"/>
      <c r="D87" s="23"/>
      <c r="E87" s="27" t="str">
        <f aca="false">IF(A87="","",C87-D87)</f>
        <v/>
      </c>
      <c r="F87" s="28" t="str">
        <f aca="false">IF(A87="","",IF(C87&gt;0,D87/C87,0))</f>
        <v/>
      </c>
    </row>
    <row r="88" customFormat="false" ht="15" hidden="false" customHeight="false" outlineLevel="0" collapsed="false">
      <c r="A88" s="23"/>
      <c r="B88" s="23"/>
      <c r="C88" s="23"/>
      <c r="D88" s="23"/>
      <c r="E88" s="27" t="str">
        <f aca="false">IF(A88="","",C88-D88)</f>
        <v/>
      </c>
      <c r="F88" s="28" t="str">
        <f aca="false">IF(A88="","",IF(C88&gt;0,D88/C88,0))</f>
        <v/>
      </c>
    </row>
    <row r="89" customFormat="false" ht="15" hidden="false" customHeight="false" outlineLevel="0" collapsed="false">
      <c r="A89" s="23"/>
      <c r="B89" s="23"/>
      <c r="C89" s="23"/>
      <c r="D89" s="23"/>
      <c r="E89" s="27" t="str">
        <f aca="false">IF(A89="","",C89-D89)</f>
        <v/>
      </c>
      <c r="F89" s="28" t="str">
        <f aca="false">IF(A89="","",IF(C89&gt;0,D89/C89,0))</f>
        <v/>
      </c>
    </row>
    <row r="90" customFormat="false" ht="15" hidden="false" customHeight="false" outlineLevel="0" collapsed="false">
      <c r="A90" s="23"/>
      <c r="B90" s="23"/>
      <c r="C90" s="23"/>
      <c r="D90" s="23"/>
      <c r="E90" s="27" t="str">
        <f aca="false">IF(A90="","",C90-D90)</f>
        <v/>
      </c>
      <c r="F90" s="28" t="str">
        <f aca="false">IF(A90="","",IF(C90&gt;0,D90/C90,0))</f>
        <v/>
      </c>
    </row>
  </sheetData>
  <conditionalFormatting sqref="D2:D90">
    <cfRule type="expression" priority="2" aboveAverage="0" equalAverage="0" bottom="0" percent="0" rank="0" text="" dxfId="0">
      <formula>AND(D2&lt;&gt;"",C2&lt;&gt;"",D2&gt;C2)</formula>
    </cfRule>
  </conditionalFormatting>
  <dataValidations count="1">
    <dataValidation allowBlank="true" error="Enter a whole number between 0 and 31." errorStyle="stop" errorTitle="Invalid days" operator="between" showDropDown="false" showErrorMessage="true" showInputMessage="false" sqref="C2:D90" type="whole">
      <formula1>0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30"/>
  </cols>
  <sheetData>
    <row r="1" customFormat="false" ht="30" hidden="false" customHeight="true" outlineLevel="0" collapsed="false">
      <c r="A1" s="19" t="s">
        <v>49</v>
      </c>
      <c r="B1" s="19" t="s">
        <v>141</v>
      </c>
      <c r="C1" s="19" t="s">
        <v>146</v>
      </c>
      <c r="D1" s="19" t="s">
        <v>147</v>
      </c>
      <c r="E1" s="19" t="s">
        <v>148</v>
      </c>
      <c r="F1" s="19" t="s">
        <v>149</v>
      </c>
      <c r="G1" s="19" t="s">
        <v>150</v>
      </c>
      <c r="H1" s="19" t="s">
        <v>151</v>
      </c>
      <c r="I1" s="19" t="s">
        <v>152</v>
      </c>
      <c r="J1" s="19" t="s">
        <v>153</v>
      </c>
    </row>
    <row r="2" customFormat="false" ht="15" hidden="false" customHeight="false" outlineLevel="0" collapsed="false">
      <c r="A2" s="20" t="s">
        <v>57</v>
      </c>
      <c r="B2" s="20" t="s">
        <v>16</v>
      </c>
      <c r="C2" s="22" t="n">
        <v>16000</v>
      </c>
      <c r="D2" s="22" t="n">
        <v>6400</v>
      </c>
      <c r="E2" s="22" t="n">
        <v>1600</v>
      </c>
      <c r="F2" s="22" t="n">
        <v>1920</v>
      </c>
      <c r="G2" s="29" t="n">
        <f aca="false">IF(A2="","",SUM(C2:E2))</f>
        <v>24000</v>
      </c>
      <c r="H2" s="29" t="n">
        <f aca="false">IF(A2="","",G2-F2)</f>
        <v>22080</v>
      </c>
      <c r="I2" s="30" t="str">
        <f aca="false">IF(A2="","",IF(OR(B2="",C2="",F2=""),"Missing data",IF(COUNTIF(Employees!$A$2:$A$60,A2)=0,"Unknown employee",IF(COUNTIFS($A$2:$A$60,A2,$B$2:$B$60,B2)&gt;1,"Duplicate entry",IF(F2&gt;G2,"Deductions exceed gross",IF(C2&lt;Settings!$B$2*G2,"Basic below policy %","OK"))))))</f>
        <v>OK</v>
      </c>
      <c r="J2" s="31"/>
    </row>
    <row r="3" customFormat="false" ht="15" hidden="false" customHeight="false" outlineLevel="0" collapsed="false">
      <c r="A3" s="20" t="s">
        <v>61</v>
      </c>
      <c r="B3" s="20" t="s">
        <v>16</v>
      </c>
      <c r="C3" s="22" t="n">
        <v>14000</v>
      </c>
      <c r="D3" s="22" t="n">
        <v>5600</v>
      </c>
      <c r="E3" s="22" t="n">
        <v>1400</v>
      </c>
      <c r="F3" s="22" t="n">
        <v>1680</v>
      </c>
      <c r="G3" s="29" t="n">
        <f aca="false">IF(A3="","",SUM(C3:E3))</f>
        <v>21000</v>
      </c>
      <c r="H3" s="29" t="n">
        <f aca="false">IF(A3="","",G3-F3)</f>
        <v>19320</v>
      </c>
      <c r="I3" s="30" t="str">
        <f aca="false">IF(A3="","",IF(OR(B3="",C3="",F3=""),"Missing data",IF(COUNTIF(Employees!$A$2:$A$60,A3)=0,"Unknown employee",IF(COUNTIFS($A$2:$A$60,A3,$B$2:$B$60,B3)&gt;1,"Duplicate entry",IF(F3&gt;G3,"Deductions exceed gross",IF(C3&lt;Settings!$B$2*G3,"Basic below policy %","OK"))))))</f>
        <v>OK</v>
      </c>
      <c r="J3" s="31"/>
    </row>
    <row r="4" customFormat="false" ht="15" hidden="false" customHeight="false" outlineLevel="0" collapsed="false">
      <c r="A4" s="20" t="s">
        <v>64</v>
      </c>
      <c r="B4" s="20" t="s">
        <v>16</v>
      </c>
      <c r="C4" s="22" t="n">
        <v>27500</v>
      </c>
      <c r="D4" s="22" t="n">
        <v>11000</v>
      </c>
      <c r="E4" s="22" t="n">
        <v>2750</v>
      </c>
      <c r="F4" s="22" t="n">
        <v>3300</v>
      </c>
      <c r="G4" s="29" t="n">
        <f aca="false">IF(A4="","",SUM(C4:E4))</f>
        <v>41250</v>
      </c>
      <c r="H4" s="29" t="n">
        <f aca="false">IF(A4="","",G4-F4)</f>
        <v>37950</v>
      </c>
      <c r="I4" s="30" t="str">
        <f aca="false">IF(A4="","",IF(OR(B4="",C4="",F4=""),"Missing data",IF(COUNTIF(Employees!$A$2:$A$60,A4)=0,"Unknown employee",IF(COUNTIFS($A$2:$A$60,A4,$B$2:$B$60,B4)&gt;1,"Duplicate entry",IF(F4&gt;G4,"Deductions exceed gross",IF(C4&lt;Settings!$B$2*G4,"Basic below policy %","OK"))))))</f>
        <v>Duplicate entry</v>
      </c>
      <c r="J4" s="31"/>
    </row>
    <row r="5" customFormat="false" ht="15" hidden="false" customHeight="false" outlineLevel="0" collapsed="false">
      <c r="A5" s="20" t="s">
        <v>67</v>
      </c>
      <c r="B5" s="20" t="s">
        <v>16</v>
      </c>
      <c r="C5" s="22" t="n">
        <v>18000</v>
      </c>
      <c r="D5" s="22" t="n">
        <v>7200</v>
      </c>
      <c r="E5" s="22" t="n">
        <v>1800</v>
      </c>
      <c r="F5" s="22" t="n">
        <v>2160</v>
      </c>
      <c r="G5" s="29" t="n">
        <f aca="false">IF(A5="","",SUM(C5:E5))</f>
        <v>27000</v>
      </c>
      <c r="H5" s="29" t="n">
        <f aca="false">IF(A5="","",G5-F5)</f>
        <v>24840</v>
      </c>
      <c r="I5" s="30" t="str">
        <f aca="false">IF(A5="","",IF(OR(B5="",C5="",F5=""),"Missing data",IF(COUNTIF(Employees!$A$2:$A$60,A5)=0,"Unknown employee",IF(COUNTIFS($A$2:$A$60,A5,$B$2:$B$60,B5)&gt;1,"Duplicate entry",IF(F5&gt;G5,"Deductions exceed gross",IF(C5&lt;Settings!$B$2*G5,"Basic below policy %","OK"))))))</f>
        <v>OK</v>
      </c>
      <c r="J5" s="31"/>
    </row>
    <row r="6" customFormat="false" ht="15" hidden="false" customHeight="false" outlineLevel="0" collapsed="false">
      <c r="A6" s="20" t="s">
        <v>73</v>
      </c>
      <c r="B6" s="20" t="s">
        <v>16</v>
      </c>
      <c r="C6" s="22" t="n">
        <v>17000</v>
      </c>
      <c r="D6" s="22" t="n">
        <v>6800</v>
      </c>
      <c r="E6" s="22" t="n">
        <v>1700</v>
      </c>
      <c r="F6" s="22" t="n">
        <v>2040</v>
      </c>
      <c r="G6" s="29" t="n">
        <f aca="false">IF(A6="","",SUM(C6:E6))</f>
        <v>25500</v>
      </c>
      <c r="H6" s="29" t="n">
        <f aca="false">IF(A6="","",G6-F6)</f>
        <v>23460</v>
      </c>
      <c r="I6" s="30" t="str">
        <f aca="false">IF(A6="","",IF(OR(B6="",C6="",F6=""),"Missing data",IF(COUNTIF(Employees!$A$2:$A$60,A6)=0,"Unknown employee",IF(COUNTIFS($A$2:$A$60,A6,$B$2:$B$60,B6)&gt;1,"Duplicate entry",IF(F6&gt;G6,"Deductions exceed gross",IF(C6&lt;Settings!$B$2*G6,"Basic below policy %","OK"))))))</f>
        <v>OK</v>
      </c>
      <c r="J6" s="31"/>
    </row>
    <row r="7" customFormat="false" ht="15" hidden="false" customHeight="false" outlineLevel="0" collapsed="false">
      <c r="A7" s="20" t="s">
        <v>79</v>
      </c>
      <c r="B7" s="20" t="s">
        <v>16</v>
      </c>
      <c r="C7" s="22" t="n">
        <v>21000</v>
      </c>
      <c r="D7" s="22" t="n">
        <v>8400</v>
      </c>
      <c r="E7" s="22" t="n">
        <v>2100</v>
      </c>
      <c r="F7" s="22" t="n">
        <v>2520</v>
      </c>
      <c r="G7" s="29" t="n">
        <f aca="false">IF(A7="","",SUM(C7:E7))</f>
        <v>31500</v>
      </c>
      <c r="H7" s="29" t="n">
        <f aca="false">IF(A7="","",G7-F7)</f>
        <v>28980</v>
      </c>
      <c r="I7" s="30" t="str">
        <f aca="false">IF(A7="","",IF(OR(B7="",C7="",F7=""),"Missing data",IF(COUNTIF(Employees!$A$2:$A$60,A7)=0,"Unknown employee",IF(COUNTIFS($A$2:$A$60,A7,$B$2:$B$60,B7)&gt;1,"Duplicate entry",IF(F7&gt;G7,"Deductions exceed gross",IF(C7&lt;Settings!$B$2*G7,"Basic below policy %","OK"))))))</f>
        <v>OK</v>
      </c>
      <c r="J7" s="31"/>
    </row>
    <row r="8" customFormat="false" ht="15" hidden="false" customHeight="false" outlineLevel="0" collapsed="false">
      <c r="A8" s="20" t="s">
        <v>82</v>
      </c>
      <c r="B8" s="20" t="s">
        <v>16</v>
      </c>
      <c r="C8" s="22" t="n">
        <v>14500</v>
      </c>
      <c r="D8" s="22" t="n">
        <v>5800</v>
      </c>
      <c r="E8" s="22" t="n">
        <v>1450</v>
      </c>
      <c r="F8" s="22" t="n">
        <v>1740</v>
      </c>
      <c r="G8" s="29" t="n">
        <f aca="false">IF(A8="","",SUM(C8:E8))</f>
        <v>21750</v>
      </c>
      <c r="H8" s="29" t="n">
        <f aca="false">IF(A8="","",G8-F8)</f>
        <v>20010</v>
      </c>
      <c r="I8" s="30" t="str">
        <f aca="false">IF(A8="","",IF(OR(B8="",C8="",F8=""),"Missing data",IF(COUNTIF(Employees!$A$2:$A$60,A8)=0,"Unknown employee",IF(COUNTIFS($A$2:$A$60,A8,$B$2:$B$60,B8)&gt;1,"Duplicate entry",IF(F8&gt;G8,"Deductions exceed gross",IF(C8&lt;Settings!$B$2*G8,"Basic below policy %","OK"))))))</f>
        <v>OK</v>
      </c>
      <c r="J8" s="31"/>
    </row>
    <row r="9" customFormat="false" ht="15" hidden="false" customHeight="false" outlineLevel="0" collapsed="false">
      <c r="A9" s="20" t="s">
        <v>84</v>
      </c>
      <c r="B9" s="20" t="s">
        <v>16</v>
      </c>
      <c r="C9" s="22" t="n">
        <v>22500</v>
      </c>
      <c r="D9" s="22" t="n">
        <v>9000</v>
      </c>
      <c r="E9" s="22" t="n">
        <v>2250</v>
      </c>
      <c r="F9" s="22" t="n">
        <v>2700</v>
      </c>
      <c r="G9" s="29" t="n">
        <f aca="false">IF(A9="","",SUM(C9:E9))</f>
        <v>33750</v>
      </c>
      <c r="H9" s="29" t="n">
        <f aca="false">IF(A9="","",G9-F9)</f>
        <v>31050</v>
      </c>
      <c r="I9" s="30" t="str">
        <f aca="false">IF(A9="","",IF(OR(B9="",C9="",F9=""),"Missing data",IF(COUNTIF(Employees!$A$2:$A$60,A9)=0,"Unknown employee",IF(COUNTIFS($A$2:$A$60,A9,$B$2:$B$60,B9)&gt;1,"Duplicate entry",IF(F9&gt;G9,"Deductions exceed gross",IF(C9&lt;Settings!$B$2*G9,"Basic below policy %","OK"))))))</f>
        <v>OK</v>
      </c>
      <c r="J9" s="31"/>
    </row>
    <row r="10" customFormat="false" ht="15" hidden="false" customHeight="false" outlineLevel="0" collapsed="false">
      <c r="A10" s="20" t="s">
        <v>87</v>
      </c>
      <c r="B10" s="20" t="s">
        <v>16</v>
      </c>
      <c r="C10" s="22" t="n">
        <v>13500</v>
      </c>
      <c r="D10" s="22" t="n">
        <v>5400</v>
      </c>
      <c r="E10" s="22" t="n">
        <v>1350</v>
      </c>
      <c r="F10" s="22" t="n">
        <v>1620</v>
      </c>
      <c r="G10" s="29" t="n">
        <f aca="false">IF(A10="","",SUM(C10:E10))</f>
        <v>20250</v>
      </c>
      <c r="H10" s="29" t="n">
        <f aca="false">IF(A10="","",G10-F10)</f>
        <v>18630</v>
      </c>
      <c r="I10" s="30" t="str">
        <f aca="false">IF(A10="","",IF(OR(B10="",C10="",F10=""),"Missing data",IF(COUNTIF(Employees!$A$2:$A$60,A10)=0,"Unknown employee",IF(COUNTIFS($A$2:$A$60,A10,$B$2:$B$60,B10)&gt;1,"Duplicate entry",IF(F10&gt;G10,"Deductions exceed gross",IF(C10&lt;Settings!$B$2*G10,"Basic below policy %","OK"))))))</f>
        <v>OK</v>
      </c>
      <c r="J10" s="31"/>
    </row>
    <row r="11" customFormat="false" ht="15" hidden="false" customHeight="false" outlineLevel="0" collapsed="false">
      <c r="A11" s="20" t="s">
        <v>89</v>
      </c>
      <c r="B11" s="20" t="s">
        <v>16</v>
      </c>
      <c r="C11" s="22" t="n">
        <v>16500</v>
      </c>
      <c r="D11" s="22" t="n">
        <v>6600</v>
      </c>
      <c r="E11" s="22" t="n">
        <v>1650</v>
      </c>
      <c r="F11" s="22" t="n">
        <v>1980</v>
      </c>
      <c r="G11" s="29" t="n">
        <f aca="false">IF(A11="","",SUM(C11:E11))</f>
        <v>24750</v>
      </c>
      <c r="H11" s="29" t="n">
        <f aca="false">IF(A11="","",G11-F11)</f>
        <v>22770</v>
      </c>
      <c r="I11" s="30" t="str">
        <f aca="false">IF(A11="","",IF(OR(B11="",C11="",F11=""),"Missing data",IF(COUNTIF(Employees!$A$2:$A$60,A11)=0,"Unknown employee",IF(COUNTIFS($A$2:$A$60,A11,$B$2:$B$60,B11)&gt;1,"Duplicate entry",IF(F11&gt;G11,"Deductions exceed gross",IF(C11&lt;Settings!$B$2*G11,"Basic below policy %","OK"))))))</f>
        <v>OK</v>
      </c>
      <c r="J11" s="31"/>
    </row>
    <row r="12" customFormat="false" ht="15" hidden="false" customHeight="false" outlineLevel="0" collapsed="false">
      <c r="A12" s="20" t="s">
        <v>64</v>
      </c>
      <c r="B12" s="20" t="s">
        <v>16</v>
      </c>
      <c r="C12" s="22" t="n">
        <v>27500</v>
      </c>
      <c r="D12" s="22" t="n">
        <v>11000</v>
      </c>
      <c r="E12" s="22" t="n">
        <v>2750</v>
      </c>
      <c r="F12" s="22" t="n">
        <v>12000</v>
      </c>
      <c r="G12" s="29" t="n">
        <f aca="false">IF(A12="","",SUM(C12:E12))</f>
        <v>41250</v>
      </c>
      <c r="H12" s="29" t="n">
        <f aca="false">IF(A12="","",G12-F12)</f>
        <v>29250</v>
      </c>
      <c r="I12" s="30" t="str">
        <f aca="false">IF(A12="","",IF(OR(B12="",C12="",F12=""),"Missing data",IF(COUNTIF(Employees!$A$2:$A$60,A12)=0,"Unknown employee",IF(COUNTIFS($A$2:$A$60,A12,$B$2:$B$60,B12)&gt;1,"Duplicate entry",IF(F12&gt;G12,"Deductions exceed gross",IF(C12&lt;Settings!$B$2*G12,"Basic below policy %","OK"))))))</f>
        <v>Duplicate entry</v>
      </c>
      <c r="J12" s="31" t="s">
        <v>154</v>
      </c>
    </row>
    <row r="13" customFormat="false" ht="15" hidden="false" customHeight="false" outlineLevel="0" collapsed="false">
      <c r="A13" s="20" t="s">
        <v>155</v>
      </c>
      <c r="B13" s="20" t="s">
        <v>16</v>
      </c>
      <c r="C13" s="22" t="n">
        <v>15000</v>
      </c>
      <c r="D13" s="22" t="n">
        <v>6000</v>
      </c>
      <c r="E13" s="22" t="n">
        <v>1500</v>
      </c>
      <c r="F13" s="22" t="n">
        <v>1800</v>
      </c>
      <c r="G13" s="29" t="n">
        <f aca="false">IF(A13="","",SUM(C13:E13))</f>
        <v>22500</v>
      </c>
      <c r="H13" s="29" t="n">
        <f aca="false">IF(A13="","",G13-F13)</f>
        <v>20700</v>
      </c>
      <c r="I13" s="30" t="str">
        <f aca="false">IF(A13="","",IF(OR(B13="",C13="",F13=""),"Missing data",IF(COUNTIF(Employees!$A$2:$A$60,A13)=0,"Unknown employee",IF(COUNTIFS($A$2:$A$60,A13,$B$2:$B$60,B13)&gt;1,"Duplicate entry",IF(F13&gt;G13,"Deductions exceed gross",IF(C13&lt;Settings!$B$2*G13,"Basic below policy %","OK"))))))</f>
        <v>Unknown employee</v>
      </c>
      <c r="J13" s="31" t="s">
        <v>156</v>
      </c>
    </row>
    <row r="14" customFormat="false" ht="15" hidden="false" customHeight="false" outlineLevel="0" collapsed="false">
      <c r="A14" s="20" t="s">
        <v>67</v>
      </c>
      <c r="B14" s="20" t="s">
        <v>13</v>
      </c>
      <c r="C14" s="22" t="n">
        <v>18000</v>
      </c>
      <c r="D14" s="22" t="n">
        <v>7200</v>
      </c>
      <c r="E14" s="22" t="n">
        <v>1800</v>
      </c>
      <c r="F14" s="22" t="n">
        <v>40000</v>
      </c>
      <c r="G14" s="29" t="n">
        <f aca="false">IF(A14="","",SUM(C14:E14))</f>
        <v>27000</v>
      </c>
      <c r="H14" s="29" t="n">
        <f aca="false">IF(A14="","",G14-F14)</f>
        <v>-13000</v>
      </c>
      <c r="I14" s="30" t="str">
        <f aca="false">IF(A14="","",IF(OR(B14="",C14="",F14=""),"Missing data",IF(COUNTIF(Employees!$A$2:$A$60,A14)=0,"Unknown employee",IF(COUNTIFS($A$2:$A$60,A14,$B$2:$B$60,B14)&gt;1,"Duplicate entry",IF(F14&gt;G14,"Deductions exceed gross",IF(C14&lt;Settings!$B$2*G14,"Basic below policy %","OK"))))))</f>
        <v>Deductions exceed gross</v>
      </c>
      <c r="J14" s="31" t="s">
        <v>157</v>
      </c>
    </row>
    <row r="15" customFormat="false" ht="15" hidden="false" customHeight="false" outlineLevel="0" collapsed="false">
      <c r="A15" s="20" t="s">
        <v>73</v>
      </c>
      <c r="B15" s="20" t="s">
        <v>13</v>
      </c>
      <c r="C15" s="22"/>
      <c r="D15" s="22" t="n">
        <v>6800</v>
      </c>
      <c r="E15" s="22" t="n">
        <v>1700</v>
      </c>
      <c r="F15" s="22" t="n">
        <v>2000</v>
      </c>
      <c r="G15" s="29" t="n">
        <f aca="false">IF(A15="","",SUM(C15:E15))</f>
        <v>8500</v>
      </c>
      <c r="H15" s="29" t="n">
        <f aca="false">IF(A15="","",G15-F15)</f>
        <v>6500</v>
      </c>
      <c r="I15" s="30" t="str">
        <f aca="false">IF(A15="","",IF(OR(B15="",C15="",F15=""),"Missing data",IF(COUNTIF(Employees!$A$2:$A$60,A15)=0,"Unknown employee",IF(COUNTIFS($A$2:$A$60,A15,$B$2:$B$60,B15)&gt;1,"Duplicate entry",IF(F15&gt;G15,"Deductions exceed gross",IF(C15&lt;Settings!$B$2*G15,"Basic below policy %","OK"))))))</f>
        <v>Missing data</v>
      </c>
      <c r="J15" s="31" t="s">
        <v>158</v>
      </c>
    </row>
    <row r="16" customFormat="false" ht="15" hidden="false" customHeight="false" outlineLevel="0" collapsed="false">
      <c r="A16" s="23"/>
      <c r="B16" s="23"/>
      <c r="C16" s="25"/>
      <c r="D16" s="25"/>
      <c r="E16" s="25"/>
      <c r="F16" s="25"/>
      <c r="G16" s="29" t="str">
        <f aca="false">IF(A16="","",SUM(C16:E16))</f>
        <v/>
      </c>
      <c r="H16" s="29" t="str">
        <f aca="false">IF(A16="","",G16-F16)</f>
        <v/>
      </c>
      <c r="I16" s="30" t="str">
        <f aca="false">IF(A16="","",IF(OR(B16="",C16="",F16=""),"Missing data",IF(COUNTIF(Employees!$A$2:$A$60,A16)=0,"Unknown employee",IF(COUNTIFS($A$2:$A$60,A16,$B$2:$B$60,B16)&gt;1,"Duplicate entry",IF(F16&gt;G16,"Deductions exceed gross",IF(C16&lt;Settings!$B$2*G16,"Basic below policy %","OK"))))))</f>
        <v/>
      </c>
      <c r="J16" s="31"/>
    </row>
    <row r="17" customFormat="false" ht="15" hidden="false" customHeight="false" outlineLevel="0" collapsed="false">
      <c r="A17" s="23"/>
      <c r="B17" s="23"/>
      <c r="C17" s="25"/>
      <c r="D17" s="25"/>
      <c r="E17" s="25"/>
      <c r="F17" s="25"/>
      <c r="G17" s="29" t="str">
        <f aca="false">IF(A17="","",SUM(C17:E17))</f>
        <v/>
      </c>
      <c r="H17" s="29" t="str">
        <f aca="false">IF(A17="","",G17-F17)</f>
        <v/>
      </c>
      <c r="I17" s="30" t="str">
        <f aca="false">IF(A17="","",IF(OR(B17="",C17="",F17=""),"Missing data",IF(COUNTIF(Employees!$A$2:$A$60,A17)=0,"Unknown employee",IF(COUNTIFS($A$2:$A$60,A17,$B$2:$B$60,B17)&gt;1,"Duplicate entry",IF(F17&gt;G17,"Deductions exceed gross",IF(C17&lt;Settings!$B$2*G17,"Basic below policy %","OK"))))))</f>
        <v/>
      </c>
      <c r="J17" s="31"/>
    </row>
    <row r="18" customFormat="false" ht="15" hidden="false" customHeight="false" outlineLevel="0" collapsed="false">
      <c r="A18" s="23"/>
      <c r="B18" s="23"/>
      <c r="C18" s="25"/>
      <c r="D18" s="25"/>
      <c r="E18" s="25"/>
      <c r="F18" s="25"/>
      <c r="G18" s="29" t="str">
        <f aca="false">IF(A18="","",SUM(C18:E18))</f>
        <v/>
      </c>
      <c r="H18" s="29" t="str">
        <f aca="false">IF(A18="","",G18-F18)</f>
        <v/>
      </c>
      <c r="I18" s="30" t="str">
        <f aca="false">IF(A18="","",IF(OR(B18="",C18="",F18=""),"Missing data",IF(COUNTIF(Employees!$A$2:$A$60,A18)=0,"Unknown employee",IF(COUNTIFS($A$2:$A$60,A18,$B$2:$B$60,B18)&gt;1,"Duplicate entry",IF(F18&gt;G18,"Deductions exceed gross",IF(C18&lt;Settings!$B$2*G18,"Basic below policy %","OK"))))))</f>
        <v/>
      </c>
      <c r="J18" s="31"/>
    </row>
    <row r="19" customFormat="false" ht="15" hidden="false" customHeight="false" outlineLevel="0" collapsed="false">
      <c r="A19" s="23"/>
      <c r="B19" s="23"/>
      <c r="C19" s="25"/>
      <c r="D19" s="25"/>
      <c r="E19" s="25"/>
      <c r="F19" s="25"/>
      <c r="G19" s="29" t="str">
        <f aca="false">IF(A19="","",SUM(C19:E19))</f>
        <v/>
      </c>
      <c r="H19" s="29" t="str">
        <f aca="false">IF(A19="","",G19-F19)</f>
        <v/>
      </c>
      <c r="I19" s="30" t="str">
        <f aca="false">IF(A19="","",IF(OR(B19="",C19="",F19=""),"Missing data",IF(COUNTIF(Employees!$A$2:$A$60,A19)=0,"Unknown employee",IF(COUNTIFS($A$2:$A$60,A19,$B$2:$B$60,B19)&gt;1,"Duplicate entry",IF(F19&gt;G19,"Deductions exceed gross",IF(C19&lt;Settings!$B$2*G19,"Basic below policy %","OK"))))))</f>
        <v/>
      </c>
      <c r="J19" s="31"/>
    </row>
    <row r="20" customFormat="false" ht="15" hidden="false" customHeight="false" outlineLevel="0" collapsed="false">
      <c r="A20" s="23"/>
      <c r="B20" s="23"/>
      <c r="C20" s="25"/>
      <c r="D20" s="25"/>
      <c r="E20" s="25"/>
      <c r="F20" s="25"/>
      <c r="G20" s="29" t="str">
        <f aca="false">IF(A20="","",SUM(C20:E20))</f>
        <v/>
      </c>
      <c r="H20" s="29" t="str">
        <f aca="false">IF(A20="","",G20-F20)</f>
        <v/>
      </c>
      <c r="I20" s="30" t="str">
        <f aca="false">IF(A20="","",IF(OR(B20="",C20="",F20=""),"Missing data",IF(COUNTIF(Employees!$A$2:$A$60,A20)=0,"Unknown employee",IF(COUNTIFS($A$2:$A$60,A20,$B$2:$B$60,B20)&gt;1,"Duplicate entry",IF(F20&gt;G20,"Deductions exceed gross",IF(C20&lt;Settings!$B$2*G20,"Basic below policy %","OK"))))))</f>
        <v/>
      </c>
      <c r="J20" s="31"/>
    </row>
    <row r="21" customFormat="false" ht="15" hidden="false" customHeight="false" outlineLevel="0" collapsed="false">
      <c r="A21" s="23"/>
      <c r="B21" s="23"/>
      <c r="C21" s="25"/>
      <c r="D21" s="25"/>
      <c r="E21" s="25"/>
      <c r="F21" s="25"/>
      <c r="G21" s="29" t="str">
        <f aca="false">IF(A21="","",SUM(C21:E21))</f>
        <v/>
      </c>
      <c r="H21" s="29" t="str">
        <f aca="false">IF(A21="","",G21-F21)</f>
        <v/>
      </c>
      <c r="I21" s="30" t="str">
        <f aca="false">IF(A21="","",IF(OR(B21="",C21="",F21=""),"Missing data",IF(COUNTIF(Employees!$A$2:$A$60,A21)=0,"Unknown employee",IF(COUNTIFS($A$2:$A$60,A21,$B$2:$B$60,B21)&gt;1,"Duplicate entry",IF(F21&gt;G21,"Deductions exceed gross",IF(C21&lt;Settings!$B$2*G21,"Basic below policy %","OK"))))))</f>
        <v/>
      </c>
      <c r="J21" s="31"/>
    </row>
    <row r="22" customFormat="false" ht="15" hidden="false" customHeight="false" outlineLevel="0" collapsed="false">
      <c r="A22" s="23"/>
      <c r="B22" s="23"/>
      <c r="C22" s="25"/>
      <c r="D22" s="25"/>
      <c r="E22" s="25"/>
      <c r="F22" s="25"/>
      <c r="G22" s="29" t="str">
        <f aca="false">IF(A22="","",SUM(C22:E22))</f>
        <v/>
      </c>
      <c r="H22" s="29" t="str">
        <f aca="false">IF(A22="","",G22-F22)</f>
        <v/>
      </c>
      <c r="I22" s="30" t="str">
        <f aca="false">IF(A22="","",IF(OR(B22="",C22="",F22=""),"Missing data",IF(COUNTIF(Employees!$A$2:$A$60,A22)=0,"Unknown employee",IF(COUNTIFS($A$2:$A$60,A22,$B$2:$B$60,B22)&gt;1,"Duplicate entry",IF(F22&gt;G22,"Deductions exceed gross",IF(C22&lt;Settings!$B$2*G22,"Basic below policy %","OK"))))))</f>
        <v/>
      </c>
      <c r="J22" s="31"/>
    </row>
    <row r="23" customFormat="false" ht="15" hidden="false" customHeight="false" outlineLevel="0" collapsed="false">
      <c r="A23" s="23"/>
      <c r="B23" s="23"/>
      <c r="C23" s="25"/>
      <c r="D23" s="25"/>
      <c r="E23" s="25"/>
      <c r="F23" s="25"/>
      <c r="G23" s="29" t="str">
        <f aca="false">IF(A23="","",SUM(C23:E23))</f>
        <v/>
      </c>
      <c r="H23" s="29" t="str">
        <f aca="false">IF(A23="","",G23-F23)</f>
        <v/>
      </c>
      <c r="I23" s="30" t="str">
        <f aca="false">IF(A23="","",IF(OR(B23="",C23="",F23=""),"Missing data",IF(COUNTIF(Employees!$A$2:$A$60,A23)=0,"Unknown employee",IF(COUNTIFS($A$2:$A$60,A23,$B$2:$B$60,B23)&gt;1,"Duplicate entry",IF(F23&gt;G23,"Deductions exceed gross",IF(C23&lt;Settings!$B$2*G23,"Basic below policy %","OK"))))))</f>
        <v/>
      </c>
      <c r="J23" s="31"/>
    </row>
    <row r="24" customFormat="false" ht="15" hidden="false" customHeight="false" outlineLevel="0" collapsed="false">
      <c r="A24" s="23"/>
      <c r="B24" s="23"/>
      <c r="C24" s="25"/>
      <c r="D24" s="25"/>
      <c r="E24" s="25"/>
      <c r="F24" s="25"/>
      <c r="G24" s="29" t="str">
        <f aca="false">IF(A24="","",SUM(C24:E24))</f>
        <v/>
      </c>
      <c r="H24" s="29" t="str">
        <f aca="false">IF(A24="","",G24-F24)</f>
        <v/>
      </c>
      <c r="I24" s="30" t="str">
        <f aca="false">IF(A24="","",IF(OR(B24="",C24="",F24=""),"Missing data",IF(COUNTIF(Employees!$A$2:$A$60,A24)=0,"Unknown employee",IF(COUNTIFS($A$2:$A$60,A24,$B$2:$B$60,B24)&gt;1,"Duplicate entry",IF(F24&gt;G24,"Deductions exceed gross",IF(C24&lt;Settings!$B$2*G24,"Basic below policy %","OK"))))))</f>
        <v/>
      </c>
      <c r="J24" s="31"/>
    </row>
    <row r="25" customFormat="false" ht="15" hidden="false" customHeight="false" outlineLevel="0" collapsed="false">
      <c r="A25" s="23"/>
      <c r="B25" s="23"/>
      <c r="C25" s="25"/>
      <c r="D25" s="25"/>
      <c r="E25" s="25"/>
      <c r="F25" s="25"/>
      <c r="G25" s="29" t="str">
        <f aca="false">IF(A25="","",SUM(C25:E25))</f>
        <v/>
      </c>
      <c r="H25" s="29" t="str">
        <f aca="false">IF(A25="","",G25-F25)</f>
        <v/>
      </c>
      <c r="I25" s="30" t="str">
        <f aca="false">IF(A25="","",IF(OR(B25="",C25="",F25=""),"Missing data",IF(COUNTIF(Employees!$A$2:$A$60,A25)=0,"Unknown employee",IF(COUNTIFS($A$2:$A$60,A25,$B$2:$B$60,B25)&gt;1,"Duplicate entry",IF(F25&gt;G25,"Deductions exceed gross",IF(C25&lt;Settings!$B$2*G25,"Basic below policy %","OK"))))))</f>
        <v/>
      </c>
      <c r="J25" s="31"/>
    </row>
    <row r="26" customFormat="false" ht="15" hidden="false" customHeight="false" outlineLevel="0" collapsed="false">
      <c r="A26" s="23"/>
      <c r="B26" s="23"/>
      <c r="C26" s="25"/>
      <c r="D26" s="25"/>
      <c r="E26" s="25"/>
      <c r="F26" s="25"/>
      <c r="G26" s="29" t="str">
        <f aca="false">IF(A26="","",SUM(C26:E26))</f>
        <v/>
      </c>
      <c r="H26" s="29" t="str">
        <f aca="false">IF(A26="","",G26-F26)</f>
        <v/>
      </c>
      <c r="I26" s="30" t="str">
        <f aca="false">IF(A26="","",IF(OR(B26="",C26="",F26=""),"Missing data",IF(COUNTIF(Employees!$A$2:$A$60,A26)=0,"Unknown employee",IF(COUNTIFS($A$2:$A$60,A26,$B$2:$B$60,B26)&gt;1,"Duplicate entry",IF(F26&gt;G26,"Deductions exceed gross",IF(C26&lt;Settings!$B$2*G26,"Basic below policy %","OK"))))))</f>
        <v/>
      </c>
      <c r="J26" s="31"/>
    </row>
    <row r="27" customFormat="false" ht="15" hidden="false" customHeight="false" outlineLevel="0" collapsed="false">
      <c r="A27" s="23"/>
      <c r="B27" s="23"/>
      <c r="C27" s="25"/>
      <c r="D27" s="25"/>
      <c r="E27" s="25"/>
      <c r="F27" s="25"/>
      <c r="G27" s="29" t="str">
        <f aca="false">IF(A27="","",SUM(C27:E27))</f>
        <v/>
      </c>
      <c r="H27" s="29" t="str">
        <f aca="false">IF(A27="","",G27-F27)</f>
        <v/>
      </c>
      <c r="I27" s="30" t="str">
        <f aca="false">IF(A27="","",IF(OR(B27="",C27="",F27=""),"Missing data",IF(COUNTIF(Employees!$A$2:$A$60,A27)=0,"Unknown employee",IF(COUNTIFS($A$2:$A$60,A27,$B$2:$B$60,B27)&gt;1,"Duplicate entry",IF(F27&gt;G27,"Deductions exceed gross",IF(C27&lt;Settings!$B$2*G27,"Basic below policy %","OK"))))))</f>
        <v/>
      </c>
      <c r="J27" s="31"/>
    </row>
    <row r="28" customFormat="false" ht="15" hidden="false" customHeight="false" outlineLevel="0" collapsed="false">
      <c r="A28" s="23"/>
      <c r="B28" s="23"/>
      <c r="C28" s="25"/>
      <c r="D28" s="25"/>
      <c r="E28" s="25"/>
      <c r="F28" s="25"/>
      <c r="G28" s="29" t="str">
        <f aca="false">IF(A28="","",SUM(C28:E28))</f>
        <v/>
      </c>
      <c r="H28" s="29" t="str">
        <f aca="false">IF(A28="","",G28-F28)</f>
        <v/>
      </c>
      <c r="I28" s="30" t="str">
        <f aca="false">IF(A28="","",IF(OR(B28="",C28="",F28=""),"Missing data",IF(COUNTIF(Employees!$A$2:$A$60,A28)=0,"Unknown employee",IF(COUNTIFS($A$2:$A$60,A28,$B$2:$B$60,B28)&gt;1,"Duplicate entry",IF(F28&gt;G28,"Deductions exceed gross",IF(C28&lt;Settings!$B$2*G28,"Basic below policy %","OK"))))))</f>
        <v/>
      </c>
      <c r="J28" s="31"/>
    </row>
    <row r="29" customFormat="false" ht="15" hidden="false" customHeight="false" outlineLevel="0" collapsed="false">
      <c r="A29" s="23"/>
      <c r="B29" s="23"/>
      <c r="C29" s="25"/>
      <c r="D29" s="25"/>
      <c r="E29" s="25"/>
      <c r="F29" s="25"/>
      <c r="G29" s="29" t="str">
        <f aca="false">IF(A29="","",SUM(C29:E29))</f>
        <v/>
      </c>
      <c r="H29" s="29" t="str">
        <f aca="false">IF(A29="","",G29-F29)</f>
        <v/>
      </c>
      <c r="I29" s="30" t="str">
        <f aca="false">IF(A29="","",IF(OR(B29="",C29="",F29=""),"Missing data",IF(COUNTIF(Employees!$A$2:$A$60,A29)=0,"Unknown employee",IF(COUNTIFS($A$2:$A$60,A29,$B$2:$B$60,B29)&gt;1,"Duplicate entry",IF(F29&gt;G29,"Deductions exceed gross",IF(C29&lt;Settings!$B$2*G29,"Basic below policy %","OK"))))))</f>
        <v/>
      </c>
      <c r="J29" s="31"/>
    </row>
    <row r="30" customFormat="false" ht="15" hidden="false" customHeight="false" outlineLevel="0" collapsed="false">
      <c r="A30" s="23"/>
      <c r="B30" s="23"/>
      <c r="C30" s="25"/>
      <c r="D30" s="25"/>
      <c r="E30" s="25"/>
      <c r="F30" s="25"/>
      <c r="G30" s="29" t="str">
        <f aca="false">IF(A30="","",SUM(C30:E30))</f>
        <v/>
      </c>
      <c r="H30" s="29" t="str">
        <f aca="false">IF(A30="","",G30-F30)</f>
        <v/>
      </c>
      <c r="I30" s="30" t="str">
        <f aca="false">IF(A30="","",IF(OR(B30="",C30="",F30=""),"Missing data",IF(COUNTIF(Employees!$A$2:$A$60,A30)=0,"Unknown employee",IF(COUNTIFS($A$2:$A$60,A30,$B$2:$B$60,B30)&gt;1,"Duplicate entry",IF(F30&gt;G30,"Deductions exceed gross",IF(C30&lt;Settings!$B$2*G30,"Basic below policy %","OK"))))))</f>
        <v/>
      </c>
      <c r="J30" s="31"/>
    </row>
    <row r="31" customFormat="false" ht="15" hidden="false" customHeight="false" outlineLevel="0" collapsed="false">
      <c r="A31" s="23"/>
      <c r="B31" s="23"/>
      <c r="C31" s="25"/>
      <c r="D31" s="25"/>
      <c r="E31" s="25"/>
      <c r="F31" s="25"/>
      <c r="G31" s="29" t="str">
        <f aca="false">IF(A31="","",SUM(C31:E31))</f>
        <v/>
      </c>
      <c r="H31" s="29" t="str">
        <f aca="false">IF(A31="","",G31-F31)</f>
        <v/>
      </c>
      <c r="I31" s="30" t="str">
        <f aca="false">IF(A31="","",IF(OR(B31="",C31="",F31=""),"Missing data",IF(COUNTIF(Employees!$A$2:$A$60,A31)=0,"Unknown employee",IF(COUNTIFS($A$2:$A$60,A31,$B$2:$B$60,B31)&gt;1,"Duplicate entry",IF(F31&gt;G31,"Deductions exceed gross",IF(C31&lt;Settings!$B$2*G31,"Basic below policy %","OK"))))))</f>
        <v/>
      </c>
      <c r="J31" s="31"/>
    </row>
    <row r="32" customFormat="false" ht="15" hidden="false" customHeight="false" outlineLevel="0" collapsed="false">
      <c r="A32" s="23"/>
      <c r="B32" s="23"/>
      <c r="C32" s="25"/>
      <c r="D32" s="25"/>
      <c r="E32" s="25"/>
      <c r="F32" s="25"/>
      <c r="G32" s="29" t="str">
        <f aca="false">IF(A32="","",SUM(C32:E32))</f>
        <v/>
      </c>
      <c r="H32" s="29" t="str">
        <f aca="false">IF(A32="","",G32-F32)</f>
        <v/>
      </c>
      <c r="I32" s="30" t="str">
        <f aca="false">IF(A32="","",IF(OR(B32="",C32="",F32=""),"Missing data",IF(COUNTIF(Employees!$A$2:$A$60,A32)=0,"Unknown employee",IF(COUNTIFS($A$2:$A$60,A32,$B$2:$B$60,B32)&gt;1,"Duplicate entry",IF(F32&gt;G32,"Deductions exceed gross",IF(C32&lt;Settings!$B$2*G32,"Basic below policy %","OK"))))))</f>
        <v/>
      </c>
      <c r="J32" s="31"/>
    </row>
    <row r="33" customFormat="false" ht="15" hidden="false" customHeight="false" outlineLevel="0" collapsed="false">
      <c r="A33" s="23"/>
      <c r="B33" s="23"/>
      <c r="C33" s="25"/>
      <c r="D33" s="25"/>
      <c r="E33" s="25"/>
      <c r="F33" s="25"/>
      <c r="G33" s="29" t="str">
        <f aca="false">IF(A33="","",SUM(C33:E33))</f>
        <v/>
      </c>
      <c r="H33" s="29" t="str">
        <f aca="false">IF(A33="","",G33-F33)</f>
        <v/>
      </c>
      <c r="I33" s="30" t="str">
        <f aca="false">IF(A33="","",IF(OR(B33="",C33="",F33=""),"Missing data",IF(COUNTIF(Employees!$A$2:$A$60,A33)=0,"Unknown employee",IF(COUNTIFS($A$2:$A$60,A33,$B$2:$B$60,B33)&gt;1,"Duplicate entry",IF(F33&gt;G33,"Deductions exceed gross",IF(C33&lt;Settings!$B$2*G33,"Basic below policy %","OK"))))))</f>
        <v/>
      </c>
      <c r="J33" s="31"/>
    </row>
    <row r="34" customFormat="false" ht="15" hidden="false" customHeight="false" outlineLevel="0" collapsed="false">
      <c r="A34" s="23"/>
      <c r="B34" s="23"/>
      <c r="C34" s="25"/>
      <c r="D34" s="25"/>
      <c r="E34" s="25"/>
      <c r="F34" s="25"/>
      <c r="G34" s="29" t="str">
        <f aca="false">IF(A34="","",SUM(C34:E34))</f>
        <v/>
      </c>
      <c r="H34" s="29" t="str">
        <f aca="false">IF(A34="","",G34-F34)</f>
        <v/>
      </c>
      <c r="I34" s="30" t="str">
        <f aca="false">IF(A34="","",IF(OR(B34="",C34="",F34=""),"Missing data",IF(COUNTIF(Employees!$A$2:$A$60,A34)=0,"Unknown employee",IF(COUNTIFS($A$2:$A$60,A34,$B$2:$B$60,B34)&gt;1,"Duplicate entry",IF(F34&gt;G34,"Deductions exceed gross",IF(C34&lt;Settings!$B$2*G34,"Basic below policy %","OK"))))))</f>
        <v/>
      </c>
      <c r="J34" s="31"/>
    </row>
    <row r="35" customFormat="false" ht="15" hidden="false" customHeight="false" outlineLevel="0" collapsed="false">
      <c r="A35" s="23"/>
      <c r="B35" s="23"/>
      <c r="C35" s="25"/>
      <c r="D35" s="25"/>
      <c r="E35" s="25"/>
      <c r="F35" s="25"/>
      <c r="G35" s="29" t="str">
        <f aca="false">IF(A35="","",SUM(C35:E35))</f>
        <v/>
      </c>
      <c r="H35" s="29" t="str">
        <f aca="false">IF(A35="","",G35-F35)</f>
        <v/>
      </c>
      <c r="I35" s="30" t="str">
        <f aca="false">IF(A35="","",IF(OR(B35="",C35="",F35=""),"Missing data",IF(COUNTIF(Employees!$A$2:$A$60,A35)=0,"Unknown employee",IF(COUNTIFS($A$2:$A$60,A35,$B$2:$B$60,B35)&gt;1,"Duplicate entry",IF(F35&gt;G35,"Deductions exceed gross",IF(C35&lt;Settings!$B$2*G35,"Basic below policy %","OK"))))))</f>
        <v/>
      </c>
      <c r="J35" s="31"/>
    </row>
    <row r="36" customFormat="false" ht="15" hidden="false" customHeight="false" outlineLevel="0" collapsed="false">
      <c r="A36" s="23"/>
      <c r="B36" s="23"/>
      <c r="C36" s="25"/>
      <c r="D36" s="25"/>
      <c r="E36" s="25"/>
      <c r="F36" s="25"/>
      <c r="G36" s="29" t="str">
        <f aca="false">IF(A36="","",SUM(C36:E36))</f>
        <v/>
      </c>
      <c r="H36" s="29" t="str">
        <f aca="false">IF(A36="","",G36-F36)</f>
        <v/>
      </c>
      <c r="I36" s="30" t="str">
        <f aca="false">IF(A36="","",IF(OR(B36="",C36="",F36=""),"Missing data",IF(COUNTIF(Employees!$A$2:$A$60,A36)=0,"Unknown employee",IF(COUNTIFS($A$2:$A$60,A36,$B$2:$B$60,B36)&gt;1,"Duplicate entry",IF(F36&gt;G36,"Deductions exceed gross",IF(C36&lt;Settings!$B$2*G36,"Basic below policy %","OK"))))))</f>
        <v/>
      </c>
      <c r="J36" s="31"/>
    </row>
    <row r="37" customFormat="false" ht="15" hidden="false" customHeight="false" outlineLevel="0" collapsed="false">
      <c r="A37" s="23"/>
      <c r="B37" s="23"/>
      <c r="C37" s="25"/>
      <c r="D37" s="25"/>
      <c r="E37" s="25"/>
      <c r="F37" s="25"/>
      <c r="G37" s="29" t="str">
        <f aca="false">IF(A37="","",SUM(C37:E37))</f>
        <v/>
      </c>
      <c r="H37" s="29" t="str">
        <f aca="false">IF(A37="","",G37-F37)</f>
        <v/>
      </c>
      <c r="I37" s="30" t="str">
        <f aca="false">IF(A37="","",IF(OR(B37="",C37="",F37=""),"Missing data",IF(COUNTIF(Employees!$A$2:$A$60,A37)=0,"Unknown employee",IF(COUNTIFS($A$2:$A$60,A37,$B$2:$B$60,B37)&gt;1,"Duplicate entry",IF(F37&gt;G37,"Deductions exceed gross",IF(C37&lt;Settings!$B$2*G37,"Basic below policy %","OK"))))))</f>
        <v/>
      </c>
      <c r="J37" s="31"/>
    </row>
    <row r="38" customFormat="false" ht="15" hidden="false" customHeight="false" outlineLevel="0" collapsed="false">
      <c r="A38" s="23"/>
      <c r="B38" s="23"/>
      <c r="C38" s="25"/>
      <c r="D38" s="25"/>
      <c r="E38" s="25"/>
      <c r="F38" s="25"/>
      <c r="G38" s="29" t="str">
        <f aca="false">IF(A38="","",SUM(C38:E38))</f>
        <v/>
      </c>
      <c r="H38" s="29" t="str">
        <f aca="false">IF(A38="","",G38-F38)</f>
        <v/>
      </c>
      <c r="I38" s="30" t="str">
        <f aca="false">IF(A38="","",IF(OR(B38="",C38="",F38=""),"Missing data",IF(COUNTIF(Employees!$A$2:$A$60,A38)=0,"Unknown employee",IF(COUNTIFS($A$2:$A$60,A38,$B$2:$B$60,B38)&gt;1,"Duplicate entry",IF(F38&gt;G38,"Deductions exceed gross",IF(C38&lt;Settings!$B$2*G38,"Basic below policy %","OK"))))))</f>
        <v/>
      </c>
      <c r="J38" s="31"/>
    </row>
    <row r="39" customFormat="false" ht="15" hidden="false" customHeight="false" outlineLevel="0" collapsed="false">
      <c r="A39" s="23"/>
      <c r="B39" s="23"/>
      <c r="C39" s="25"/>
      <c r="D39" s="25"/>
      <c r="E39" s="25"/>
      <c r="F39" s="25"/>
      <c r="G39" s="29" t="str">
        <f aca="false">IF(A39="","",SUM(C39:E39))</f>
        <v/>
      </c>
      <c r="H39" s="29" t="str">
        <f aca="false">IF(A39="","",G39-F39)</f>
        <v/>
      </c>
      <c r="I39" s="30" t="str">
        <f aca="false">IF(A39="","",IF(OR(B39="",C39="",F39=""),"Missing data",IF(COUNTIF(Employees!$A$2:$A$60,A39)=0,"Unknown employee",IF(COUNTIFS($A$2:$A$60,A39,$B$2:$B$60,B39)&gt;1,"Duplicate entry",IF(F39&gt;G39,"Deductions exceed gross",IF(C39&lt;Settings!$B$2*G39,"Basic below policy %","OK"))))))</f>
        <v/>
      </c>
      <c r="J39" s="31"/>
    </row>
    <row r="40" customFormat="false" ht="15" hidden="false" customHeight="false" outlineLevel="0" collapsed="false">
      <c r="A40" s="23"/>
      <c r="B40" s="23"/>
      <c r="C40" s="25"/>
      <c r="D40" s="25"/>
      <c r="E40" s="25"/>
      <c r="F40" s="25"/>
      <c r="G40" s="29" t="str">
        <f aca="false">IF(A40="","",SUM(C40:E40))</f>
        <v/>
      </c>
      <c r="H40" s="29" t="str">
        <f aca="false">IF(A40="","",G40-F40)</f>
        <v/>
      </c>
      <c r="I40" s="30" t="str">
        <f aca="false">IF(A40="","",IF(OR(B40="",C40="",F40=""),"Missing data",IF(COUNTIF(Employees!$A$2:$A$60,A40)=0,"Unknown employee",IF(COUNTIFS($A$2:$A$60,A40,$B$2:$B$60,B40)&gt;1,"Duplicate entry",IF(F40&gt;G40,"Deductions exceed gross",IF(C40&lt;Settings!$B$2*G40,"Basic below policy %","OK"))))))</f>
        <v/>
      </c>
      <c r="J40" s="31"/>
    </row>
    <row r="41" customFormat="false" ht="15" hidden="false" customHeight="false" outlineLevel="0" collapsed="false">
      <c r="A41" s="23"/>
      <c r="B41" s="23"/>
      <c r="C41" s="25"/>
      <c r="D41" s="25"/>
      <c r="E41" s="25"/>
      <c r="F41" s="25"/>
      <c r="G41" s="29" t="str">
        <f aca="false">IF(A41="","",SUM(C41:E41))</f>
        <v/>
      </c>
      <c r="H41" s="29" t="str">
        <f aca="false">IF(A41="","",G41-F41)</f>
        <v/>
      </c>
      <c r="I41" s="30" t="str">
        <f aca="false">IF(A41="","",IF(OR(B41="",C41="",F41=""),"Missing data",IF(COUNTIF(Employees!$A$2:$A$60,A41)=0,"Unknown employee",IF(COUNTIFS($A$2:$A$60,A41,$B$2:$B$60,B41)&gt;1,"Duplicate entry",IF(F41&gt;G41,"Deductions exceed gross",IF(C41&lt;Settings!$B$2*G41,"Basic below policy %","OK"))))))</f>
        <v/>
      </c>
      <c r="J41" s="31"/>
    </row>
    <row r="42" customFormat="false" ht="15" hidden="false" customHeight="false" outlineLevel="0" collapsed="false">
      <c r="A42" s="23"/>
      <c r="B42" s="23"/>
      <c r="C42" s="25"/>
      <c r="D42" s="25"/>
      <c r="E42" s="25"/>
      <c r="F42" s="25"/>
      <c r="G42" s="29" t="str">
        <f aca="false">IF(A42="","",SUM(C42:E42))</f>
        <v/>
      </c>
      <c r="H42" s="29" t="str">
        <f aca="false">IF(A42="","",G42-F42)</f>
        <v/>
      </c>
      <c r="I42" s="30" t="str">
        <f aca="false">IF(A42="","",IF(OR(B42="",C42="",F42=""),"Missing data",IF(COUNTIF(Employees!$A$2:$A$60,A42)=0,"Unknown employee",IF(COUNTIFS($A$2:$A$60,A42,$B$2:$B$60,B42)&gt;1,"Duplicate entry",IF(F42&gt;G42,"Deductions exceed gross",IF(C42&lt;Settings!$B$2*G42,"Basic below policy %","OK"))))))</f>
        <v/>
      </c>
      <c r="J42" s="31"/>
    </row>
    <row r="43" customFormat="false" ht="15" hidden="false" customHeight="false" outlineLevel="0" collapsed="false">
      <c r="A43" s="23"/>
      <c r="B43" s="23"/>
      <c r="C43" s="25"/>
      <c r="D43" s="25"/>
      <c r="E43" s="25"/>
      <c r="F43" s="25"/>
      <c r="G43" s="29" t="str">
        <f aca="false">IF(A43="","",SUM(C43:E43))</f>
        <v/>
      </c>
      <c r="H43" s="29" t="str">
        <f aca="false">IF(A43="","",G43-F43)</f>
        <v/>
      </c>
      <c r="I43" s="30" t="str">
        <f aca="false">IF(A43="","",IF(OR(B43="",C43="",F43=""),"Missing data",IF(COUNTIF(Employees!$A$2:$A$60,A43)=0,"Unknown employee",IF(COUNTIFS($A$2:$A$60,A43,$B$2:$B$60,B43)&gt;1,"Duplicate entry",IF(F43&gt;G43,"Deductions exceed gross",IF(C43&lt;Settings!$B$2*G43,"Basic below policy %","OK"))))))</f>
        <v/>
      </c>
      <c r="J43" s="31"/>
    </row>
    <row r="44" customFormat="false" ht="15" hidden="false" customHeight="false" outlineLevel="0" collapsed="false">
      <c r="A44" s="23"/>
      <c r="B44" s="23"/>
      <c r="C44" s="25"/>
      <c r="D44" s="25"/>
      <c r="E44" s="25"/>
      <c r="F44" s="25"/>
      <c r="G44" s="29" t="str">
        <f aca="false">IF(A44="","",SUM(C44:E44))</f>
        <v/>
      </c>
      <c r="H44" s="29" t="str">
        <f aca="false">IF(A44="","",G44-F44)</f>
        <v/>
      </c>
      <c r="I44" s="30" t="str">
        <f aca="false">IF(A44="","",IF(OR(B44="",C44="",F44=""),"Missing data",IF(COUNTIF(Employees!$A$2:$A$60,A44)=0,"Unknown employee",IF(COUNTIFS($A$2:$A$60,A44,$B$2:$B$60,B44)&gt;1,"Duplicate entry",IF(F44&gt;G44,"Deductions exceed gross",IF(C44&lt;Settings!$B$2*G44,"Basic below policy %","OK"))))))</f>
        <v/>
      </c>
      <c r="J44" s="31"/>
    </row>
    <row r="45" customFormat="false" ht="15" hidden="false" customHeight="false" outlineLevel="0" collapsed="false">
      <c r="A45" s="23"/>
      <c r="B45" s="23"/>
      <c r="C45" s="25"/>
      <c r="D45" s="25"/>
      <c r="E45" s="25"/>
      <c r="F45" s="25"/>
      <c r="G45" s="29" t="str">
        <f aca="false">IF(A45="","",SUM(C45:E45))</f>
        <v/>
      </c>
      <c r="H45" s="29" t="str">
        <f aca="false">IF(A45="","",G45-F45)</f>
        <v/>
      </c>
      <c r="I45" s="30" t="str">
        <f aca="false">IF(A45="","",IF(OR(B45="",C45="",F45=""),"Missing data",IF(COUNTIF(Employees!$A$2:$A$60,A45)=0,"Unknown employee",IF(COUNTIFS($A$2:$A$60,A45,$B$2:$B$60,B45)&gt;1,"Duplicate entry",IF(F45&gt;G45,"Deductions exceed gross",IF(C45&lt;Settings!$B$2*G45,"Basic below policy %","OK"))))))</f>
        <v/>
      </c>
      <c r="J45" s="31"/>
    </row>
    <row r="46" customFormat="false" ht="15" hidden="false" customHeight="false" outlineLevel="0" collapsed="false">
      <c r="A46" s="23"/>
      <c r="B46" s="23"/>
      <c r="C46" s="25"/>
      <c r="D46" s="25"/>
      <c r="E46" s="25"/>
      <c r="F46" s="25"/>
      <c r="G46" s="29" t="str">
        <f aca="false">IF(A46="","",SUM(C46:E46))</f>
        <v/>
      </c>
      <c r="H46" s="29" t="str">
        <f aca="false">IF(A46="","",G46-F46)</f>
        <v/>
      </c>
      <c r="I46" s="30" t="str">
        <f aca="false">IF(A46="","",IF(OR(B46="",C46="",F46=""),"Missing data",IF(COUNTIF(Employees!$A$2:$A$60,A46)=0,"Unknown employee",IF(COUNTIFS($A$2:$A$60,A46,$B$2:$B$60,B46)&gt;1,"Duplicate entry",IF(F46&gt;G46,"Deductions exceed gross",IF(C46&lt;Settings!$B$2*G46,"Basic below policy %","OK"))))))</f>
        <v/>
      </c>
      <c r="J46" s="31"/>
    </row>
    <row r="47" customFormat="false" ht="15" hidden="false" customHeight="false" outlineLevel="0" collapsed="false">
      <c r="A47" s="23"/>
      <c r="B47" s="23"/>
      <c r="C47" s="25"/>
      <c r="D47" s="25"/>
      <c r="E47" s="25"/>
      <c r="F47" s="25"/>
      <c r="G47" s="29" t="str">
        <f aca="false">IF(A47="","",SUM(C47:E47))</f>
        <v/>
      </c>
      <c r="H47" s="29" t="str">
        <f aca="false">IF(A47="","",G47-F47)</f>
        <v/>
      </c>
      <c r="I47" s="30" t="str">
        <f aca="false">IF(A47="","",IF(OR(B47="",C47="",F47=""),"Missing data",IF(COUNTIF(Employees!$A$2:$A$60,A47)=0,"Unknown employee",IF(COUNTIFS($A$2:$A$60,A47,$B$2:$B$60,B47)&gt;1,"Duplicate entry",IF(F47&gt;G47,"Deductions exceed gross",IF(C47&lt;Settings!$B$2*G47,"Basic below policy %","OK"))))))</f>
        <v/>
      </c>
      <c r="J47" s="31"/>
    </row>
    <row r="48" customFormat="false" ht="15" hidden="false" customHeight="false" outlineLevel="0" collapsed="false">
      <c r="A48" s="23"/>
      <c r="B48" s="23"/>
      <c r="C48" s="25"/>
      <c r="D48" s="25"/>
      <c r="E48" s="25"/>
      <c r="F48" s="25"/>
      <c r="G48" s="29" t="str">
        <f aca="false">IF(A48="","",SUM(C48:E48))</f>
        <v/>
      </c>
      <c r="H48" s="29" t="str">
        <f aca="false">IF(A48="","",G48-F48)</f>
        <v/>
      </c>
      <c r="I48" s="30" t="str">
        <f aca="false">IF(A48="","",IF(OR(B48="",C48="",F48=""),"Missing data",IF(COUNTIF(Employees!$A$2:$A$60,A48)=0,"Unknown employee",IF(COUNTIFS($A$2:$A$60,A48,$B$2:$B$60,B48)&gt;1,"Duplicate entry",IF(F48&gt;G48,"Deductions exceed gross",IF(C48&lt;Settings!$B$2*G48,"Basic below policy %","OK"))))))</f>
        <v/>
      </c>
      <c r="J48" s="31"/>
    </row>
    <row r="49" customFormat="false" ht="15" hidden="false" customHeight="false" outlineLevel="0" collapsed="false">
      <c r="A49" s="23"/>
      <c r="B49" s="23"/>
      <c r="C49" s="25"/>
      <c r="D49" s="25"/>
      <c r="E49" s="25"/>
      <c r="F49" s="25"/>
      <c r="G49" s="29" t="str">
        <f aca="false">IF(A49="","",SUM(C49:E49))</f>
        <v/>
      </c>
      <c r="H49" s="29" t="str">
        <f aca="false">IF(A49="","",G49-F49)</f>
        <v/>
      </c>
      <c r="I49" s="30" t="str">
        <f aca="false">IF(A49="","",IF(OR(B49="",C49="",F49=""),"Missing data",IF(COUNTIF(Employees!$A$2:$A$60,A49)=0,"Unknown employee",IF(COUNTIFS($A$2:$A$60,A49,$B$2:$B$60,B49)&gt;1,"Duplicate entry",IF(F49&gt;G49,"Deductions exceed gross",IF(C49&lt;Settings!$B$2*G49,"Basic below policy %","OK"))))))</f>
        <v/>
      </c>
      <c r="J49" s="31"/>
    </row>
    <row r="50" customFormat="false" ht="15" hidden="false" customHeight="false" outlineLevel="0" collapsed="false">
      <c r="A50" s="23"/>
      <c r="B50" s="23"/>
      <c r="C50" s="25"/>
      <c r="D50" s="25"/>
      <c r="E50" s="25"/>
      <c r="F50" s="25"/>
      <c r="G50" s="29" t="str">
        <f aca="false">IF(A50="","",SUM(C50:E50))</f>
        <v/>
      </c>
      <c r="H50" s="29" t="str">
        <f aca="false">IF(A50="","",G50-F50)</f>
        <v/>
      </c>
      <c r="I50" s="30" t="str">
        <f aca="false">IF(A50="","",IF(OR(B50="",C50="",F50=""),"Missing data",IF(COUNTIF(Employees!$A$2:$A$60,A50)=0,"Unknown employee",IF(COUNTIFS($A$2:$A$60,A50,$B$2:$B$60,B50)&gt;1,"Duplicate entry",IF(F50&gt;G50,"Deductions exceed gross",IF(C50&lt;Settings!$B$2*G50,"Basic below policy %","OK"))))))</f>
        <v/>
      </c>
      <c r="J50" s="31"/>
    </row>
    <row r="51" customFormat="false" ht="15" hidden="false" customHeight="false" outlineLevel="0" collapsed="false">
      <c r="A51" s="23"/>
      <c r="B51" s="23"/>
      <c r="C51" s="25"/>
      <c r="D51" s="25"/>
      <c r="E51" s="25"/>
      <c r="F51" s="25"/>
      <c r="G51" s="29" t="str">
        <f aca="false">IF(A51="","",SUM(C51:E51))</f>
        <v/>
      </c>
      <c r="H51" s="29" t="str">
        <f aca="false">IF(A51="","",G51-F51)</f>
        <v/>
      </c>
      <c r="I51" s="30" t="str">
        <f aca="false">IF(A51="","",IF(OR(B51="",C51="",F51=""),"Missing data",IF(COUNTIF(Employees!$A$2:$A$60,A51)=0,"Unknown employee",IF(COUNTIFS($A$2:$A$60,A51,$B$2:$B$60,B51)&gt;1,"Duplicate entry",IF(F51&gt;G51,"Deductions exceed gross",IF(C51&lt;Settings!$B$2*G51,"Basic below policy %","OK"))))))</f>
        <v/>
      </c>
      <c r="J51" s="31"/>
    </row>
    <row r="52" customFormat="false" ht="15" hidden="false" customHeight="false" outlineLevel="0" collapsed="false">
      <c r="A52" s="23"/>
      <c r="B52" s="23"/>
      <c r="C52" s="25"/>
      <c r="D52" s="25"/>
      <c r="E52" s="25"/>
      <c r="F52" s="25"/>
      <c r="G52" s="29" t="str">
        <f aca="false">IF(A52="","",SUM(C52:E52))</f>
        <v/>
      </c>
      <c r="H52" s="29" t="str">
        <f aca="false">IF(A52="","",G52-F52)</f>
        <v/>
      </c>
      <c r="I52" s="30" t="str">
        <f aca="false">IF(A52="","",IF(OR(B52="",C52="",F52=""),"Missing data",IF(COUNTIF(Employees!$A$2:$A$60,A52)=0,"Unknown employee",IF(COUNTIFS($A$2:$A$60,A52,$B$2:$B$60,B52)&gt;1,"Duplicate entry",IF(F52&gt;G52,"Deductions exceed gross",IF(C52&lt;Settings!$B$2*G52,"Basic below policy %","OK"))))))</f>
        <v/>
      </c>
      <c r="J52" s="31"/>
    </row>
    <row r="53" customFormat="false" ht="15" hidden="false" customHeight="false" outlineLevel="0" collapsed="false">
      <c r="A53" s="23"/>
      <c r="B53" s="23"/>
      <c r="C53" s="25"/>
      <c r="D53" s="25"/>
      <c r="E53" s="25"/>
      <c r="F53" s="25"/>
      <c r="G53" s="29" t="str">
        <f aca="false">IF(A53="","",SUM(C53:E53))</f>
        <v/>
      </c>
      <c r="H53" s="29" t="str">
        <f aca="false">IF(A53="","",G53-F53)</f>
        <v/>
      </c>
      <c r="I53" s="30" t="str">
        <f aca="false">IF(A53="","",IF(OR(B53="",C53="",F53=""),"Missing data",IF(COUNTIF(Employees!$A$2:$A$60,A53)=0,"Unknown employee",IF(COUNTIFS($A$2:$A$60,A53,$B$2:$B$60,B53)&gt;1,"Duplicate entry",IF(F53&gt;G53,"Deductions exceed gross",IF(C53&lt;Settings!$B$2*G53,"Basic below policy %","OK"))))))</f>
        <v/>
      </c>
      <c r="J53" s="31"/>
    </row>
    <row r="54" customFormat="false" ht="15" hidden="false" customHeight="false" outlineLevel="0" collapsed="false">
      <c r="A54" s="23"/>
      <c r="B54" s="23"/>
      <c r="C54" s="25"/>
      <c r="D54" s="25"/>
      <c r="E54" s="25"/>
      <c r="F54" s="25"/>
      <c r="G54" s="29" t="str">
        <f aca="false">IF(A54="","",SUM(C54:E54))</f>
        <v/>
      </c>
      <c r="H54" s="29" t="str">
        <f aca="false">IF(A54="","",G54-F54)</f>
        <v/>
      </c>
      <c r="I54" s="30" t="str">
        <f aca="false">IF(A54="","",IF(OR(B54="",C54="",F54=""),"Missing data",IF(COUNTIF(Employees!$A$2:$A$60,A54)=0,"Unknown employee",IF(COUNTIFS($A$2:$A$60,A54,$B$2:$B$60,B54)&gt;1,"Duplicate entry",IF(F54&gt;G54,"Deductions exceed gross",IF(C54&lt;Settings!$B$2*G54,"Basic below policy %","OK"))))))</f>
        <v/>
      </c>
      <c r="J54" s="31"/>
    </row>
    <row r="55" customFormat="false" ht="15" hidden="false" customHeight="false" outlineLevel="0" collapsed="false">
      <c r="A55" s="23"/>
      <c r="B55" s="23"/>
      <c r="C55" s="25"/>
      <c r="D55" s="25"/>
      <c r="E55" s="25"/>
      <c r="F55" s="25"/>
      <c r="G55" s="29" t="str">
        <f aca="false">IF(A55="","",SUM(C55:E55))</f>
        <v/>
      </c>
      <c r="H55" s="29" t="str">
        <f aca="false">IF(A55="","",G55-F55)</f>
        <v/>
      </c>
      <c r="I55" s="30" t="str">
        <f aca="false">IF(A55="","",IF(OR(B55="",C55="",F55=""),"Missing data",IF(COUNTIF(Employees!$A$2:$A$60,A55)=0,"Unknown employee",IF(COUNTIFS($A$2:$A$60,A55,$B$2:$B$60,B55)&gt;1,"Duplicate entry",IF(F55&gt;G55,"Deductions exceed gross",IF(C55&lt;Settings!$B$2*G55,"Basic below policy %","OK"))))))</f>
        <v/>
      </c>
      <c r="J55" s="31"/>
    </row>
    <row r="56" customFormat="false" ht="15" hidden="false" customHeight="false" outlineLevel="0" collapsed="false">
      <c r="A56" s="23"/>
      <c r="B56" s="23"/>
      <c r="C56" s="25"/>
      <c r="D56" s="25"/>
      <c r="E56" s="25"/>
      <c r="F56" s="25"/>
      <c r="G56" s="29" t="str">
        <f aca="false">IF(A56="","",SUM(C56:E56))</f>
        <v/>
      </c>
      <c r="H56" s="29" t="str">
        <f aca="false">IF(A56="","",G56-F56)</f>
        <v/>
      </c>
      <c r="I56" s="30" t="str">
        <f aca="false">IF(A56="","",IF(OR(B56="",C56="",F56=""),"Missing data",IF(COUNTIF(Employees!$A$2:$A$60,A56)=0,"Unknown employee",IF(COUNTIFS($A$2:$A$60,A56,$B$2:$B$60,B56)&gt;1,"Duplicate entry",IF(F56&gt;G56,"Deductions exceed gross",IF(C56&lt;Settings!$B$2*G56,"Basic below policy %","OK"))))))</f>
        <v/>
      </c>
      <c r="J56" s="31"/>
    </row>
    <row r="57" customFormat="false" ht="15" hidden="false" customHeight="false" outlineLevel="0" collapsed="false">
      <c r="A57" s="23"/>
      <c r="B57" s="23"/>
      <c r="C57" s="25"/>
      <c r="D57" s="25"/>
      <c r="E57" s="25"/>
      <c r="F57" s="25"/>
      <c r="G57" s="29" t="str">
        <f aca="false">IF(A57="","",SUM(C57:E57))</f>
        <v/>
      </c>
      <c r="H57" s="29" t="str">
        <f aca="false">IF(A57="","",G57-F57)</f>
        <v/>
      </c>
      <c r="I57" s="30" t="str">
        <f aca="false">IF(A57="","",IF(OR(B57="",C57="",F57=""),"Missing data",IF(COUNTIF(Employees!$A$2:$A$60,A57)=0,"Unknown employee",IF(COUNTIFS($A$2:$A$60,A57,$B$2:$B$60,B57)&gt;1,"Duplicate entry",IF(F57&gt;G57,"Deductions exceed gross",IF(C57&lt;Settings!$B$2*G57,"Basic below policy %","OK"))))))</f>
        <v/>
      </c>
      <c r="J57" s="31"/>
    </row>
    <row r="58" customFormat="false" ht="15" hidden="false" customHeight="false" outlineLevel="0" collapsed="false">
      <c r="A58" s="23"/>
      <c r="B58" s="23"/>
      <c r="C58" s="25"/>
      <c r="D58" s="25"/>
      <c r="E58" s="25"/>
      <c r="F58" s="25"/>
      <c r="G58" s="29" t="str">
        <f aca="false">IF(A58="","",SUM(C58:E58))</f>
        <v/>
      </c>
      <c r="H58" s="29" t="str">
        <f aca="false">IF(A58="","",G58-F58)</f>
        <v/>
      </c>
      <c r="I58" s="30" t="str">
        <f aca="false">IF(A58="","",IF(OR(B58="",C58="",F58=""),"Missing data",IF(COUNTIF(Employees!$A$2:$A$60,A58)=0,"Unknown employee",IF(COUNTIFS($A$2:$A$60,A58,$B$2:$B$60,B58)&gt;1,"Duplicate entry",IF(F58&gt;G58,"Deductions exceed gross",IF(C58&lt;Settings!$B$2*G58,"Basic below policy %","OK"))))))</f>
        <v/>
      </c>
      <c r="J58" s="31"/>
    </row>
    <row r="59" customFormat="false" ht="15" hidden="false" customHeight="false" outlineLevel="0" collapsed="false">
      <c r="A59" s="23"/>
      <c r="B59" s="23"/>
      <c r="C59" s="25"/>
      <c r="D59" s="25"/>
      <c r="E59" s="25"/>
      <c r="F59" s="25"/>
      <c r="G59" s="29" t="str">
        <f aca="false">IF(A59="","",SUM(C59:E59))</f>
        <v/>
      </c>
      <c r="H59" s="29" t="str">
        <f aca="false">IF(A59="","",G59-F59)</f>
        <v/>
      </c>
      <c r="I59" s="30" t="str">
        <f aca="false">IF(A59="","",IF(OR(B59="",C59="",F59=""),"Missing data",IF(COUNTIF(Employees!$A$2:$A$60,A59)=0,"Unknown employee",IF(COUNTIFS($A$2:$A$60,A59,$B$2:$B$60,B59)&gt;1,"Duplicate entry",IF(F59&gt;G59,"Deductions exceed gross",IF(C59&lt;Settings!$B$2*G59,"Basic below policy %","OK"))))))</f>
        <v/>
      </c>
      <c r="J59" s="31"/>
    </row>
    <row r="60" customFormat="false" ht="15" hidden="false" customHeight="false" outlineLevel="0" collapsed="false">
      <c r="A60" s="23"/>
      <c r="B60" s="23"/>
      <c r="C60" s="25"/>
      <c r="D60" s="25"/>
      <c r="E60" s="25"/>
      <c r="F60" s="25"/>
      <c r="G60" s="29" t="str">
        <f aca="false">IF(A60="","",SUM(C60:E60))</f>
        <v/>
      </c>
      <c r="H60" s="29" t="str">
        <f aca="false">IF(A60="","",G60-F60)</f>
        <v/>
      </c>
      <c r="I60" s="30" t="str">
        <f aca="false">IF(A60="","",IF(OR(B60="",C60="",F60=""),"Missing data",IF(COUNTIF(Employees!$A$2:$A$60,A60)=0,"Unknown employee",IF(COUNTIFS($A$2:$A$60,A60,$B$2:$B$60,B60)&gt;1,"Duplicate entry",IF(F60&gt;G60,"Deductions exceed gross",IF(C60&lt;Settings!$B$2*G60,"Basic below policy %","OK"))))))</f>
        <v/>
      </c>
      <c r="J60" s="31"/>
    </row>
  </sheetData>
  <conditionalFormatting sqref="I2:I60">
    <cfRule type="expression" priority="2" aboveAverage="0" equalAverage="0" bottom="0" percent="0" rank="0" text="" dxfId="1">
      <formula>AND(I2&lt;&gt;"",I2&lt;&gt;"OK")</formula>
    </cfRule>
    <cfRule type="cellIs" priority="3" operator="equal" aboveAverage="0" equalAverage="0" bottom="0" percent="0" rank="0" text="" dxfId="2">
      <formula>"OK"</formula>
    </cfRule>
  </conditionalFormatting>
  <dataValidations count="1">
    <dataValidation allowBlank="true" error="Enter a number that is 0 or more." errorStyle="stop" errorTitle="Invalid amount" operator="greaterThanOrEqual" showDropDown="false" showErrorMessage="true" showInputMessage="false" sqref="C2:F6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159</v>
      </c>
      <c r="B1" s="3" t="s">
        <v>3</v>
      </c>
    </row>
    <row r="2" customFormat="false" ht="15" hidden="false" customHeight="false" outlineLevel="0" collapsed="false">
      <c r="A2" s="11" t="s">
        <v>160</v>
      </c>
      <c r="B2" s="32" t="n">
        <v>0.4</v>
      </c>
    </row>
    <row r="3" customFormat="false" ht="15" hidden="false" customHeight="false" outlineLevel="0" collapsed="false">
      <c r="A3" s="33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2026-10-16T09:46:09Z</dcterms:created>
  <dc:creator>openpyxl</dc:creator>
  <dc:description/>
  <dc:language>en-US</dc:language>
  <cp:lastModifiedBy/>
  <dcterms:modified xsi:type="dcterms:W3CDTF">2026-10-16T09:46:12Z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